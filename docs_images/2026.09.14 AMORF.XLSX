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komak1\Desktop\"/>
    </mc:Choice>
  </mc:AlternateContent>
  <xr:revisionPtr revIDLastSave="0" documentId="13_ncr:1_{A8C97FBE-CB65-4758-B829-D8C6DA81F6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.09.14 AMORF" sheetId="1" r:id="rId1"/>
    <sheet name="ZEN LIZ NOR SPH STOK" sheetId="2" r:id="rId2"/>
  </sheets>
  <definedNames>
    <definedName name="_xlnm.Print_Area" localSheetId="0">'2026.09.14 AMORF'!$A$1:$N$13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5" i="1"/>
  <c r="M10" i="1"/>
  <c r="M8" i="1"/>
  <c r="M3" i="1"/>
  <c r="M4" i="1"/>
  <c r="M9" i="1"/>
  <c r="M11" i="1"/>
  <c r="M13" i="1"/>
  <c r="M12" i="1"/>
</calcChain>
</file>

<file path=xl/sharedStrings.xml><?xml version="1.0" encoding="utf-8"?>
<sst xmlns="http://schemas.openxmlformats.org/spreadsheetml/2006/main" count="681" uniqueCount="440">
  <si>
    <t>CARI_KOD</t>
  </si>
  <si>
    <t>CARI_UNVAN</t>
  </si>
  <si>
    <t>SIP_NO</t>
  </si>
  <si>
    <t>SIP_TARIH</t>
  </si>
  <si>
    <t>MALZ_KOD</t>
  </si>
  <si>
    <t>MALZ_ACIKLAMA</t>
  </si>
  <si>
    <t>SATIR_ACIKLAMA</t>
  </si>
  <si>
    <t>ELDEKI_MIKTAR</t>
  </si>
  <si>
    <t>BEKLEYEN_SIPARIS</t>
  </si>
  <si>
    <t>SEVKIYAT_ADI</t>
  </si>
  <si>
    <t>DOKUMANIZLEME_NO</t>
  </si>
  <si>
    <t>120.034.0248</t>
  </si>
  <si>
    <t>ESSE HALI PAZARLAMA SANAYİ VE TİCARET LİMİTED ŞİRKETİ</t>
  </si>
  <si>
    <t/>
  </si>
  <si>
    <t>ESSE20261444</t>
  </si>
  <si>
    <t>LIZA.KILIM.0057</t>
  </si>
  <si>
    <t>LIZ 02 BEIGE _ 120*180</t>
  </si>
  <si>
    <t>LIZA.KILIM.0111</t>
  </si>
  <si>
    <t>LIZ 02 VIZON _ 100*200</t>
  </si>
  <si>
    <t>120.026.0006</t>
  </si>
  <si>
    <t>HALICI FARUK TEKSTİL LİMİTED ŞİRKETİ</t>
  </si>
  <si>
    <t>20260913002</t>
  </si>
  <si>
    <t>NORA.HALI.0104</t>
  </si>
  <si>
    <t>NOR 03 WHITE _ 100*300</t>
  </si>
  <si>
    <t>WEB217600</t>
  </si>
  <si>
    <t>ZEN.HALI.0129</t>
  </si>
  <si>
    <t>ZEN AMORF 01 L.STONE _ 160*230</t>
  </si>
  <si>
    <t>120.041.0030</t>
  </si>
  <si>
    <t>EVSER HALI-İBRAHİM YILDIRIM</t>
  </si>
  <si>
    <t>WEB217447</t>
  </si>
  <si>
    <t>ZEN.HALI.0481</t>
  </si>
  <si>
    <t>ZEN AMORF 01 WHITE _ 100*150</t>
  </si>
  <si>
    <t>120.006.0040</t>
  </si>
  <si>
    <t>EMREHALI DÜNYASI MOB.İNŞAAT OTO. MEFRUŞAT DAY.TÜKETİM MAD.SAN.VE TİC.LTD.ŞTİ</t>
  </si>
  <si>
    <t>WEB217646</t>
  </si>
  <si>
    <t>ZEN.HALI.0489</t>
  </si>
  <si>
    <t>ZEN AMORF 02 L.STONE _ 100*150</t>
  </si>
  <si>
    <t>ZEN.HALI.0199</t>
  </si>
  <si>
    <t>ZEN AMORF 02 L.STONE _ 120*180</t>
  </si>
  <si>
    <t>20260911108</t>
  </si>
  <si>
    <t>ZEN.HALI.0139</t>
  </si>
  <si>
    <t>ZEN AMORF 02 L.STONE _ 160*230</t>
  </si>
  <si>
    <t>ZEN.HALI.0433</t>
  </si>
  <si>
    <t>ZEN AMORF 02 L.STONE _ 80*120</t>
  </si>
  <si>
    <t>120.034.0008</t>
  </si>
  <si>
    <t>TOPÇUOĞLU DAY.TÜK.MAD.LTD.ŞTİ.</t>
  </si>
  <si>
    <t>WEB215410</t>
  </si>
  <si>
    <t>ZEN.HALI.0151</t>
  </si>
  <si>
    <t>ZEN AMORF 03 L.STONE _ 160*230</t>
  </si>
  <si>
    <t>WEB217643</t>
  </si>
  <si>
    <t>ZEN.HALI.0162</t>
  </si>
  <si>
    <t>Malzeme (Sınıfı) Kodu</t>
  </si>
  <si>
    <t>Malzeme (Sınıfı) Açıklaması</t>
  </si>
  <si>
    <t>Ambar Adı</t>
  </si>
  <si>
    <t>Fiili Stok</t>
  </si>
  <si>
    <t>Gerçek Stok</t>
  </si>
  <si>
    <t>LIZA.KILIM.0017</t>
  </si>
  <si>
    <t>LIZ 01 ANTRASIT _ 100 ENRULO</t>
  </si>
  <si>
    <t>SMV - DEPO</t>
  </si>
  <si>
    <t>LIZA.KILIM.0018</t>
  </si>
  <si>
    <t>LIZ 01 ANTRASIT _ 120 ENRULO</t>
  </si>
  <si>
    <t>LIZA.KILIM.0019</t>
  </si>
  <si>
    <t>LIZ 01 ANTRASIT _ 160 ENRULO</t>
  </si>
  <si>
    <t>LIZA.KILIM.0020</t>
  </si>
  <si>
    <t>LIZ 01 ANTRASIT _ 200 ENRULO</t>
  </si>
  <si>
    <t>LIZA.KILIM.0016</t>
  </si>
  <si>
    <t>LIZ 01 ANTRASIT _ 80 ENRULO</t>
  </si>
  <si>
    <t>LIZA.KILIM.0007</t>
  </si>
  <si>
    <t>LIZ 01 BEIGE _ 100 ENRULO</t>
  </si>
  <si>
    <t>LIZA.KILIM.0008</t>
  </si>
  <si>
    <t>LIZ 01 BEIGE _ 120 ENRULO</t>
  </si>
  <si>
    <t>LIZA.KILIM.0009</t>
  </si>
  <si>
    <t>LIZ 01 BEIGE _ 160 ENRULO</t>
  </si>
  <si>
    <t>LIZA.KILIM.0010</t>
  </si>
  <si>
    <t>LIZ 01 BEIGE _ 200 ENRULO</t>
  </si>
  <si>
    <t>LIZA.KILIM.0006</t>
  </si>
  <si>
    <t>LIZ 01 BEIGE _ 80 ENRULO</t>
  </si>
  <si>
    <t>LIZA.KILIM.0012</t>
  </si>
  <si>
    <t>LIZ 01 GREY _ 100 ENRULO</t>
  </si>
  <si>
    <t>LIZA.KILIM.0013</t>
  </si>
  <si>
    <t>LIZ 01 GREY _ 120 ENRULO</t>
  </si>
  <si>
    <t>LIZA.KILIM.0014</t>
  </si>
  <si>
    <t>LIZ 01 GREY _ 160 ENRULO</t>
  </si>
  <si>
    <t>LIZA.KILIM.0015</t>
  </si>
  <si>
    <t>LIZ 01 GREY _ 200 ENRULO</t>
  </si>
  <si>
    <t>LIZA.KILIM.0011</t>
  </si>
  <si>
    <t>LIZ 01 GREY _ 80 ENRULO</t>
  </si>
  <si>
    <t>LIZA.KILIM.0022</t>
  </si>
  <si>
    <t>LIZ 01 VIZON _ 100 ENRULO</t>
  </si>
  <si>
    <t>LIZA.KILIM.0023</t>
  </si>
  <si>
    <t>LIZ 01 VIZON _ 120 ENRULO</t>
  </si>
  <si>
    <t>LIZA.KILIM.0024</t>
  </si>
  <si>
    <t>LIZ 01 VIZON _ 160 ENRULO</t>
  </si>
  <si>
    <t>LIZA.KILIM.0025</t>
  </si>
  <si>
    <t>LIZ 01 VIZON _ 200 ENRULO</t>
  </si>
  <si>
    <t>LIZA.KILIM.0021</t>
  </si>
  <si>
    <t>LIZ 01 VIZON _ 80 ENRULO</t>
  </si>
  <si>
    <t>LIZA.KILIM.0002</t>
  </si>
  <si>
    <t>LIZ 01 WHITE _ 100 ENRULO</t>
  </si>
  <si>
    <t>LIZA.KILIM.0003</t>
  </si>
  <si>
    <t>LIZ 01 WHITE _ 120 ENRULO</t>
  </si>
  <si>
    <t>LIZA.KILIM.0004</t>
  </si>
  <si>
    <t>LIZ 01 WHITE _ 160 ENRULO</t>
  </si>
  <si>
    <t>LIZA.KILIM.0005</t>
  </si>
  <si>
    <t>LIZ 01 WHITE _ 200 ENRULO</t>
  </si>
  <si>
    <t>LIZA.KILIM.0001</t>
  </si>
  <si>
    <t>LIZ 01 WHITE _ 80 ENRULO</t>
  </si>
  <si>
    <t>LIZA.KILIM.0042</t>
  </si>
  <si>
    <t>LIZ 02 ANTRASIT _ 100 ENRULO</t>
  </si>
  <si>
    <t>LIZA.KILIM.0043</t>
  </si>
  <si>
    <t>LIZ 02 ANTRASIT _ 120 ENRULO</t>
  </si>
  <si>
    <t>LIZA.KILIM.0044</t>
  </si>
  <si>
    <t>LIZ 02 ANTRASIT _ 160 ENRULO</t>
  </si>
  <si>
    <t>LIZA.KILIM.0045</t>
  </si>
  <si>
    <t>LIZ 02 ANTRASIT _ 200 ENRULO</t>
  </si>
  <si>
    <t>LIZA.KILIM.0041</t>
  </si>
  <si>
    <t>LIZ 02 ANTRASIT _ 80 ENRULO</t>
  </si>
  <si>
    <t>LIZA.KILIM.0032</t>
  </si>
  <si>
    <t>LIZ 02 BEIGE _ 100 ENRULO</t>
  </si>
  <si>
    <t>LIZA.KILIM.0033</t>
  </si>
  <si>
    <t>LIZ 02 BEIGE _ 120 ENRULO</t>
  </si>
  <si>
    <t>LIZA.KILIM.0034</t>
  </si>
  <si>
    <t>LIZ 02 BEIGE _ 160 ENRULO</t>
  </si>
  <si>
    <t>LIZA.KILIM.0035</t>
  </si>
  <si>
    <t>LIZ 02 BEIGE _ 200 ENRULO</t>
  </si>
  <si>
    <t>LIZA.KILIM.0031</t>
  </si>
  <si>
    <t>LIZ 02 BEIGE _ 80 ENRULO</t>
  </si>
  <si>
    <t>LIZA.KILIM.0037</t>
  </si>
  <si>
    <t>LIZ 02 GREY _ 100 ENRULO</t>
  </si>
  <si>
    <t>LIZA.KILIM.0038</t>
  </si>
  <si>
    <t>LIZ 02 GREY _ 120 ENRULO</t>
  </si>
  <si>
    <t>LIZA.KILIM.0039</t>
  </si>
  <si>
    <t>LIZ 02 GREY _ 160 ENRULO</t>
  </si>
  <si>
    <t>LIZA.KILIM.0040</t>
  </si>
  <si>
    <t>LIZ 02 GREY _ 200 ENRULO</t>
  </si>
  <si>
    <t>LIZA.KILIM.0036</t>
  </si>
  <si>
    <t>LIZ 02 GREY _ 80 ENRULO</t>
  </si>
  <si>
    <t>LIZA.KILIM.0047</t>
  </si>
  <si>
    <t>LIZ 02 VIZON _ 100 ENRULO</t>
  </si>
  <si>
    <t>LIZA.KILIM.0048</t>
  </si>
  <si>
    <t>LIZ 02 VIZON _ 120 ENRULO</t>
  </si>
  <si>
    <t>LIZA.KILIM.0049</t>
  </si>
  <si>
    <t>LIZ 02 VIZON _ 160 ENRULO</t>
  </si>
  <si>
    <t>LIZA.KILIM.0050</t>
  </si>
  <si>
    <t>LIZ 02 VIZON _ 200 ENRULO</t>
  </si>
  <si>
    <t>LIZA.KILIM.0046</t>
  </si>
  <si>
    <t>LIZ 02 VIZON _ 80 ENRULO</t>
  </si>
  <si>
    <t>LIZA.KILIM.0027</t>
  </si>
  <si>
    <t>LIZ 02 WHITE _ 100 ENRULO</t>
  </si>
  <si>
    <t>LIZA.KILIM.0028</t>
  </si>
  <si>
    <t>LIZ 02 WHITE _ 120 ENRULO</t>
  </si>
  <si>
    <t>LIZA.KILIM.0029</t>
  </si>
  <si>
    <t>LIZ 02 WHITE _ 160 ENRULO</t>
  </si>
  <si>
    <t>LIZA.KILIM.0030</t>
  </si>
  <si>
    <t>LIZ 02 WHITE _ 200 ENRULO</t>
  </si>
  <si>
    <t>LIZA.KILIM.0026</t>
  </si>
  <si>
    <t>LIZ 02 WHITE _ 80 ENRULO</t>
  </si>
  <si>
    <t>NORA.HALI.0007</t>
  </si>
  <si>
    <t>NOR 01 BEIGE _ 100 ENRULO</t>
  </si>
  <si>
    <t>NORA.HALI.0008</t>
  </si>
  <si>
    <t>NOR 01 BEIGE _ 120 ENRULO</t>
  </si>
  <si>
    <t>NORA.HALI.0009</t>
  </si>
  <si>
    <t>NOR 01 BEIGE _ 160 ENRULO</t>
  </si>
  <si>
    <t>NORA.HALI.0010</t>
  </si>
  <si>
    <t>NOR 01 BEIGE _ 200 ENRULO</t>
  </si>
  <si>
    <t>NORA.HALI.0006</t>
  </si>
  <si>
    <t>NOR 01 BEIGE _ 80 ENRULO</t>
  </si>
  <si>
    <t>NORA.HALI.0012</t>
  </si>
  <si>
    <t>NOR 01 SILVER _ 100 ENRULO</t>
  </si>
  <si>
    <t>NORA.HALI.0013</t>
  </si>
  <si>
    <t>NOR 01 SILVER _ 120 ENRULO</t>
  </si>
  <si>
    <t>NORA.HALI.0014</t>
  </si>
  <si>
    <t>NOR 01 SILVER _ 160 ENRULO</t>
  </si>
  <si>
    <t>NORA.HALI.0015</t>
  </si>
  <si>
    <t>NOR 01 SILVER _ 200 ENRULO</t>
  </si>
  <si>
    <t>NORA.HALI.0011</t>
  </si>
  <si>
    <t>NOR 01 SILVER _ 80 ENRULO</t>
  </si>
  <si>
    <t>NORA.HALI.0002</t>
  </si>
  <si>
    <t>NOR 01 WHITE _ 100 ENRULO</t>
  </si>
  <si>
    <t>NORA.HALI.0003</t>
  </si>
  <si>
    <t>NOR 01 WHITE _ 120 ENRULO</t>
  </si>
  <si>
    <t>NORA.HALI.0004</t>
  </si>
  <si>
    <t>NOR 01 WHITE _ 160 ENRULO</t>
  </si>
  <si>
    <t>NORA.HALI.0005</t>
  </si>
  <si>
    <t>NOR 01 WHITE _ 200 ENRULO</t>
  </si>
  <si>
    <t>NORA.HALI.0001</t>
  </si>
  <si>
    <t>NOR 01 WHITE _ 80 ENRULO</t>
  </si>
  <si>
    <t>NORA.HALI.0022</t>
  </si>
  <si>
    <t>NOR 02 BEIGE _ 100 ENRULO</t>
  </si>
  <si>
    <t>NORA.HALI.0023</t>
  </si>
  <si>
    <t>NOR 02 BEIGE _ 120 ENRULO</t>
  </si>
  <si>
    <t>NORA.HALI.0024</t>
  </si>
  <si>
    <t>NOR 02 BEIGE _ 160 ENRULO</t>
  </si>
  <si>
    <t>NORA.HALI.0025</t>
  </si>
  <si>
    <t>NOR 02 BEIGE _ 200 ENRULO</t>
  </si>
  <si>
    <t>NORA.HALI.0021</t>
  </si>
  <si>
    <t>NOR 02 BEIGE _ 80 ENRULO</t>
  </si>
  <si>
    <t>NORA.HALI.0032</t>
  </si>
  <si>
    <t>NOR 02 GREY _ 100 ENRULO</t>
  </si>
  <si>
    <t>NORA.HALI.0033</t>
  </si>
  <si>
    <t>NOR 02 GREY _ 120 ENRULO</t>
  </si>
  <si>
    <t>NORA.HALI.0034</t>
  </si>
  <si>
    <t>NOR 02 GREY _ 160 ENRULO</t>
  </si>
  <si>
    <t>NORA.HALI.0035</t>
  </si>
  <si>
    <t>NOR 02 GREY _ 200 ENRULO</t>
  </si>
  <si>
    <t>NORA.HALI.0031</t>
  </si>
  <si>
    <t>NOR 02 GREY _ 80 ENRULO</t>
  </si>
  <si>
    <t>NORA.HALI.0027</t>
  </si>
  <si>
    <t>NOR 02 SILVER _ 100 ENRULO</t>
  </si>
  <si>
    <t>NORA.HALI.0028</t>
  </si>
  <si>
    <t>NOR 02 SILVER _ 120 ENRULO</t>
  </si>
  <si>
    <t>NORA.HALI.0029</t>
  </si>
  <si>
    <t>NOR 02 SILVER _ 160 ENRULO</t>
  </si>
  <si>
    <t>NORA.HALI.0030</t>
  </si>
  <si>
    <t>NOR 02 SILVER _ 200 ENRULO</t>
  </si>
  <si>
    <t>NORA.HALI.0026</t>
  </si>
  <si>
    <t>NOR 02 SILVER _ 80 ENRULO</t>
  </si>
  <si>
    <t>NORA.HALI.0017</t>
  </si>
  <si>
    <t>NOR 02 WHITE _ 100 ENRULO</t>
  </si>
  <si>
    <t>NORA.HALI.0018</t>
  </si>
  <si>
    <t>NOR 02 WHITE _ 120 ENRULO</t>
  </si>
  <si>
    <t>NORA.HALI.0019</t>
  </si>
  <si>
    <t>NOR 02 WHITE _ 160 ENRULO</t>
  </si>
  <si>
    <t>NORA.HALI.0020</t>
  </si>
  <si>
    <t>NOR 02 WHITE _ 200 ENRULO</t>
  </si>
  <si>
    <t>NORA.HALI.0016</t>
  </si>
  <si>
    <t>NOR 02 WHITE _ 80 ENRULO</t>
  </si>
  <si>
    <t>NORA.HALI.0042</t>
  </si>
  <si>
    <t>NOR 03 BEIGE _ 100 ENRULO</t>
  </si>
  <si>
    <t>NORA.HALI.0043</t>
  </si>
  <si>
    <t>NOR 03 BEIGE _ 120 ENRULO</t>
  </si>
  <si>
    <t>NORA.HALI.0044</t>
  </si>
  <si>
    <t>NOR 03 BEIGE _ 160 ENRULO</t>
  </si>
  <si>
    <t>NORA.HALI.0045</t>
  </si>
  <si>
    <t>NOR 03 BEIGE _ 200 ENRULO</t>
  </si>
  <si>
    <t>NORA.HALI.0041</t>
  </si>
  <si>
    <t>NOR 03 BEIGE _ 80 ENRULO</t>
  </si>
  <si>
    <t>NORA.HALI.0047</t>
  </si>
  <si>
    <t>NOR 03 SILVER _ 100 ENRULO</t>
  </si>
  <si>
    <t>NORA.HALI.0048</t>
  </si>
  <si>
    <t>NOR 03 SILVER _ 120 ENRULO</t>
  </si>
  <si>
    <t>NORA.HALI.0049</t>
  </si>
  <si>
    <t>NOR 03 SILVER _ 160 ENRULO</t>
  </si>
  <si>
    <t>NORA.HALI.0050</t>
  </si>
  <si>
    <t>NOR 03 SILVER _ 200 ENRULO</t>
  </si>
  <si>
    <t>NORA.HALI.0046</t>
  </si>
  <si>
    <t>NOR 03 SILVER _ 80 ENRULO</t>
  </si>
  <si>
    <t>NORA.HALI.0037</t>
  </si>
  <si>
    <t>NOR 03 WHITE _ 100 ENRULO</t>
  </si>
  <si>
    <t>NORA.HALI.0038</t>
  </si>
  <si>
    <t>NOR 03 WHITE _ 120 ENRULO</t>
  </si>
  <si>
    <t>NORA.HALI.0039</t>
  </si>
  <si>
    <t>NOR 03 WHITE _ 160 ENRULO</t>
  </si>
  <si>
    <t>NORA.HALI.0040</t>
  </si>
  <si>
    <t>NOR 03 WHITE _ 200 ENRULO</t>
  </si>
  <si>
    <t>NORA.HALI.0036</t>
  </si>
  <si>
    <t>NOR 03 WHITE _ 80 ENRULO</t>
  </si>
  <si>
    <t>SAPPHIRE.HALI.0035</t>
  </si>
  <si>
    <t>SPH 01 BEIGE _ 100 ENRULO</t>
  </si>
  <si>
    <t>SAPPHIRE.HALI.0036</t>
  </si>
  <si>
    <t>SPH 01 BEIGE _ 120 ENRULO</t>
  </si>
  <si>
    <t>SAPPHIRE.HALI.0037</t>
  </si>
  <si>
    <t>SPH 01 BEIGE _ 160 ENRULO</t>
  </si>
  <si>
    <t>SAPPHIRE.HALI.0038</t>
  </si>
  <si>
    <t>SPH 01 BEIGE _ 200 ENRULO</t>
  </si>
  <si>
    <t>SAPPHIRE.HALI.0039</t>
  </si>
  <si>
    <t>SPH 01 BEIGE _ 400 ENRULO</t>
  </si>
  <si>
    <t>SAPPHIRE.HALI.0034</t>
  </si>
  <si>
    <t>SPH 01 BEIGE _ 80 ENRULO</t>
  </si>
  <si>
    <t>SAPPHIRE.HALI.0048</t>
  </si>
  <si>
    <t>SPH 01 CREAM _ 100 ENRULO</t>
  </si>
  <si>
    <t>SAPPHIRE.HALI.0049</t>
  </si>
  <si>
    <t>SPH 01 CREAM _ 120 ENRULO</t>
  </si>
  <si>
    <t>SAPPHIRE.HALI.0050</t>
  </si>
  <si>
    <t>SPH 01 CREAM _ 160 ENRULO</t>
  </si>
  <si>
    <t>SAPPHIRE.HALI.0051</t>
  </si>
  <si>
    <t>SPH 01 CREAM _ 200 ENRULO</t>
  </si>
  <si>
    <t>SAPPHIRE.HALI.0052</t>
  </si>
  <si>
    <t>SPH 01 CREAM _ 400 ENRULO</t>
  </si>
  <si>
    <t>SAPPHIRE.HALI.0047</t>
  </si>
  <si>
    <t>SPH 01 CREAM _ 80 ENRULO</t>
  </si>
  <si>
    <t>SAPPHIRE.HALI.0009</t>
  </si>
  <si>
    <t>SPH 01 GREY _ 100 ENRULO</t>
  </si>
  <si>
    <t>SAPPHIRE.HALI.0010</t>
  </si>
  <si>
    <t>SPH 01 GREY _ 120 ENRULO</t>
  </si>
  <si>
    <t>SAPPHIRE.HALI.0011</t>
  </si>
  <si>
    <t>SPH 01 GREY _ 160 ENRULO</t>
  </si>
  <si>
    <t>SAPPHIRE.HALI.0012</t>
  </si>
  <si>
    <t>SPH 01 GREY _ 200 ENRULO</t>
  </si>
  <si>
    <t>SAPPHIRE.HALI.0013</t>
  </si>
  <si>
    <t>SPH 01 GREY _ 400 ENRULO</t>
  </si>
  <si>
    <t>SAPPHIRE.HALI.0008</t>
  </si>
  <si>
    <t>SPH 01 GREY _ 80 ENRULO</t>
  </si>
  <si>
    <t>SAPPHIRE.HALI.0022</t>
  </si>
  <si>
    <t>SPH 01 VIZON _ 100 ENRULO</t>
  </si>
  <si>
    <t>SAPPHIRE.HALI.0023</t>
  </si>
  <si>
    <t>SPH 01 VIZON _ 120 ENRULO</t>
  </si>
  <si>
    <t>SAPPHIRE.HALI.0024</t>
  </si>
  <si>
    <t>SPH 01 VIZON _ 160 ENRULO</t>
  </si>
  <si>
    <t>SAPPHIRE.HALI.0025</t>
  </si>
  <si>
    <t>SPH 01 VIZON _ 200 ENRULO</t>
  </si>
  <si>
    <t>SAPPHIRE.HALI.0026</t>
  </si>
  <si>
    <t>SPH 01 VIZON _ 400 ENRULO</t>
  </si>
  <si>
    <t>SAPPHIRE.HALI.0021</t>
  </si>
  <si>
    <t>SPH 01 VIZON _ 80 ENRULO</t>
  </si>
  <si>
    <t>SAPPHIRE.HALI.0076</t>
  </si>
  <si>
    <t>SPH 02 BEIGE _ 500 ENRULO</t>
  </si>
  <si>
    <t>SAPPHIRE.HALI.0068</t>
  </si>
  <si>
    <t>SPH 02 GREY _ 500 ENRULO</t>
  </si>
  <si>
    <t>SAPPHIRE.HALI.0060</t>
  </si>
  <si>
    <t>SPH 02 VIZON _ 500 ENRULO</t>
  </si>
  <si>
    <t>ZEN.HALI.0061</t>
  </si>
  <si>
    <t>ZEN 01 ANTHRACITE _ 100 ENRULO</t>
  </si>
  <si>
    <t>ZEN.HALI.0062</t>
  </si>
  <si>
    <t>ZEN 01 ANTHRACITE _ 120 ENRULO</t>
  </si>
  <si>
    <t>ZEN.HALI.0063</t>
  </si>
  <si>
    <t>ZEN 01 ANTHRACITE _ 160 ENRULO</t>
  </si>
  <si>
    <t>ZEN.HALI.0064</t>
  </si>
  <si>
    <t>ZEN 01 ANTHRACITE _ 200 ENRULO</t>
  </si>
  <si>
    <t>ZEN.HALI.0118</t>
  </si>
  <si>
    <t>ZEN 01 ANTHRACITE _ 400 ENRULO</t>
  </si>
  <si>
    <t>ZEN.HALI.0060</t>
  </si>
  <si>
    <t>ZEN 01 ANTHRACITE _ 80 ENRULO</t>
  </si>
  <si>
    <t>ZEN.HALI.0028</t>
  </si>
  <si>
    <t>ZEN 01 BEIGE _ 100 ENRULO</t>
  </si>
  <si>
    <t>ZEN.HALI.0029</t>
  </si>
  <si>
    <t>ZEN 01 BEIGE _ 120 ENRULO</t>
  </si>
  <si>
    <t>ZEN.HALI.0030</t>
  </si>
  <si>
    <t>ZEN 01 BEIGE _ 160 ENRULO</t>
  </si>
  <si>
    <t>ZEN.HALI.0031</t>
  </si>
  <si>
    <t>ZEN 01 BEIGE _ 200 ENRULO</t>
  </si>
  <si>
    <t>ZEN.HALI.0114</t>
  </si>
  <si>
    <t>ZEN 01 BEIGE _ 400 ENRULO</t>
  </si>
  <si>
    <t>ZEN.HALI.0027</t>
  </si>
  <si>
    <t>ZEN 01 BEIGE _ 80 ENRULO</t>
  </si>
  <si>
    <t>ZEN.HALI.0276</t>
  </si>
  <si>
    <t>ZEN 01 BLUE _ 100 ENRULO</t>
  </si>
  <si>
    <t>ZEN.HALI.0277</t>
  </si>
  <si>
    <t>ZEN 01 BLUE _ 120 ENRULO</t>
  </si>
  <si>
    <t>ZEN.HALI.0278</t>
  </si>
  <si>
    <t>ZEN 01 BLUE _ 160 ENRULO</t>
  </si>
  <si>
    <t>ZEN.HALI.0279</t>
  </si>
  <si>
    <t>ZEN 01 BLUE _ 200 ENRULO</t>
  </si>
  <si>
    <t>ZEN.HALI.0280</t>
  </si>
  <si>
    <t>ZEN 01 BLUE _ 400 ENRULO</t>
  </si>
  <si>
    <t>ZEN.HALI.0274</t>
  </si>
  <si>
    <t>ZEN 01 BLUE _ 80 ENRULO</t>
  </si>
  <si>
    <t>ZEN.HALI.0241</t>
  </si>
  <si>
    <t>ZEN 01 BROWN _ 100 ENRULO</t>
  </si>
  <si>
    <t>ZEN.HALI.0242</t>
  </si>
  <si>
    <t>ZEN 01 BROWN _ 120 ENRULO</t>
  </si>
  <si>
    <t>ZEN.HALI.0243</t>
  </si>
  <si>
    <t>ZEN 01 BROWN _ 160 ENRULO</t>
  </si>
  <si>
    <t>ZEN.HALI.0244</t>
  </si>
  <si>
    <t>ZEN 01 BROWN _ 200 ENRULO</t>
  </si>
  <si>
    <t>ZEN.HALI.0245</t>
  </si>
  <si>
    <t>ZEN 01 BROWN _ 400 ENRULO</t>
  </si>
  <si>
    <t>ZEN.HALI.0100</t>
  </si>
  <si>
    <t>ZEN 01 BROWN _ 80 ENRULO</t>
  </si>
  <si>
    <t>ZEN.HALI.0093</t>
  </si>
  <si>
    <t>ZEN 01 D.STONE _ 100 ENRULO</t>
  </si>
  <si>
    <t>ZEN.HALI.0094</t>
  </si>
  <si>
    <t>ZEN 01 D.STONE _ 120 ENRULO</t>
  </si>
  <si>
    <t>ZEN.HALI.0095</t>
  </si>
  <si>
    <t>ZEN 01 D.STONE _ 160 ENRULO</t>
  </si>
  <si>
    <t>ZEN.HALI.0096</t>
  </si>
  <si>
    <t>ZEN 01 D.STONE _ 200 ENRULO</t>
  </si>
  <si>
    <t>ZEN.HALI.0117</t>
  </si>
  <si>
    <t>ZEN 01 D.STONE _ 400 ENRULO</t>
  </si>
  <si>
    <t>ZEN.HALI.0092</t>
  </si>
  <si>
    <t>ZEN 01 D.STONE _ 80 ENRULO</t>
  </si>
  <si>
    <t>ZEN.HALI.0258</t>
  </si>
  <si>
    <t>ZEN 01 GREEN _ 100 ENRULO</t>
  </si>
  <si>
    <t>ZEN.HALI.0259</t>
  </si>
  <si>
    <t>ZEN 01 GREEN _ 120 ENRULO</t>
  </si>
  <si>
    <t>ZEN.HALI.0260</t>
  </si>
  <si>
    <t>ZEN 01 GREEN _ 160 ENRULO</t>
  </si>
  <si>
    <t>ZEN.HALI.0261</t>
  </si>
  <si>
    <t>ZEN 01 GREEN _ 200 ENRULO</t>
  </si>
  <si>
    <t>ZEN.HALI.0262</t>
  </si>
  <si>
    <t>ZEN 01 GREEN _ 400 ENRULO</t>
  </si>
  <si>
    <t>ZEN.HALI.0257</t>
  </si>
  <si>
    <t>ZEN 01 GREEN _ 80 ENRULO</t>
  </si>
  <si>
    <t>ZEN.HALI.0045</t>
  </si>
  <si>
    <t>ZEN 01 GREY _ 100 ENRULO</t>
  </si>
  <si>
    <t>ZEN.HALI.0046</t>
  </si>
  <si>
    <t>ZEN 01 GREY _ 120 ENRULO</t>
  </si>
  <si>
    <t>ZEN.HALI.0047</t>
  </si>
  <si>
    <t>ZEN 01 GREY _ 160 ENRULO</t>
  </si>
  <si>
    <t>ZEN.HALI.0048</t>
  </si>
  <si>
    <t>ZEN 01 GREY _ 200 ENRULO</t>
  </si>
  <si>
    <t>ZEN.HALI.0112</t>
  </si>
  <si>
    <t>ZEN 01 GREY _ 400 ENRULO</t>
  </si>
  <si>
    <t>ZEN.HALI.0044</t>
  </si>
  <si>
    <t>ZEN 01 GREY _ 80 ENRULO</t>
  </si>
  <si>
    <t>ZEN.HALI.0077</t>
  </si>
  <si>
    <t>ZEN 01 L.STONE _ 100 ENRULO</t>
  </si>
  <si>
    <t>ZEN.HALI.0078</t>
  </si>
  <si>
    <t>ZEN 01 L.STONE _ 120 ENRULO</t>
  </si>
  <si>
    <t>ZEN.HALI.0079</t>
  </si>
  <si>
    <t>ZEN 01 L.STONE _ 160 ENRULO</t>
  </si>
  <si>
    <t>ZEN.HALI.0080</t>
  </si>
  <si>
    <t>ZEN 01 L.STONE _ 200 ENRULO</t>
  </si>
  <si>
    <t>ZEN.HALI.0113</t>
  </si>
  <si>
    <t>ZEN 01 L.STONE _ 400 ENRULO</t>
  </si>
  <si>
    <t>ZEN.HALI.0076</t>
  </si>
  <si>
    <t>ZEN 01 L.STONE _ 80 ENRULO</t>
  </si>
  <si>
    <t>ZEN.HALI.0218</t>
  </si>
  <si>
    <t>ZEN 01 PINK _ 100 ENRULO</t>
  </si>
  <si>
    <t>ZEN.HALI.0219</t>
  </si>
  <si>
    <t>ZEN 01 PINK _ 120 ENRULO</t>
  </si>
  <si>
    <t>ZEN.HALI.0220</t>
  </si>
  <si>
    <t>ZEN 01 PINK _ 160 ENRULO</t>
  </si>
  <si>
    <t>ZEN.HALI.0221</t>
  </si>
  <si>
    <t>ZEN 01 PINK _ 200 ENRULO</t>
  </si>
  <si>
    <t>ZEN.HALI.0217</t>
  </si>
  <si>
    <t>ZEN 01 PINK _ 80 ENRULO</t>
  </si>
  <si>
    <t>ZEN.HALI.0230</t>
  </si>
  <si>
    <t>ZEN 01 PINK_ 400 ENRULO</t>
  </si>
  <si>
    <t>ZEN.HALI.0013</t>
  </si>
  <si>
    <t>ZEN 01 WHITE _ 100 ENRULO</t>
  </si>
  <si>
    <t>ZEN.HALI.0014</t>
  </si>
  <si>
    <t>ZEN 01 WHITE _ 120 ENRULO</t>
  </si>
  <si>
    <t>ZEN.HALI.0015</t>
  </si>
  <si>
    <t>ZEN 01 WHITE _ 160 ENRULO</t>
  </si>
  <si>
    <t>ZEN.HALI.0016</t>
  </si>
  <si>
    <t>ZEN 01 WHITE _ 200 ENRULO</t>
  </si>
  <si>
    <t>ZEN.HALI.0111</t>
  </si>
  <si>
    <t>ZEN 01 WHITE _ 400 ENRULO</t>
  </si>
  <si>
    <t>ZEN.HALI.0012</t>
  </si>
  <si>
    <t>ZEN 01 WHITE _ 80 ENRULO</t>
  </si>
  <si>
    <t>#</t>
  </si>
  <si>
    <t>.</t>
  </si>
  <si>
    <t>ZEN_RULO</t>
  </si>
  <si>
    <t>RULO</t>
  </si>
  <si>
    <t xml:space="preserve">MŞ: HAVA DADAŞ </t>
  </si>
  <si>
    <t xml:space="preserve">MŞ: Ayse Kantarkaya </t>
  </si>
  <si>
    <t>14/09/2026 AMORF</t>
  </si>
  <si>
    <t>ARTERİUM ŞB</t>
  </si>
  <si>
    <t>ZEN AMORF 04 D.STONE _ S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</si>
</sst>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  <font>
      <sz val="11"/>
      <name val="Calibri"/>
      <family val="2"/>
      <charset val="162"/>
    </font>
    <font>
      <sz val="9"/>
      <name val="Calibri"/>
      <family val="2"/>
      <charset val="162"/>
    </font>
    <font>
      <sz val="8"/>
      <name val="Calibri"/>
      <family val="2"/>
      <charset val="162"/>
    </font>
    <font>
      <b/>
      <sz val="2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/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/>
      <bottom style="thin">
        <color rgb="FF9A9A9A"/>
      </bottom>
      <diagonal/>
    </border>
    <border>
      <left style="thin">
        <color rgb="FF9A9A9A"/>
      </left>
      <right style="thin">
        <color rgb="FF9A9A9A"/>
      </right>
      <top/>
      <bottom style="thin">
        <color rgb="FF9A9A9A"/>
      </bottom>
      <diagonal/>
    </border>
    <border>
      <left style="thin">
        <color rgb="FF9A9A9A"/>
      </left>
      <right/>
      <top/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/>
      <diagonal/>
    </border>
    <border>
      <left style="thin">
        <color rgb="FF9A9A9A"/>
      </left>
      <right/>
      <top style="thin">
        <color rgb="FF9A9A9A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39" fontId="2" fillId="2" borderId="3" xfId="0" applyNumberFormat="1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39" fontId="2" fillId="2" borderId="8" xfId="0" applyNumberFormat="1" applyFont="1" applyFill="1" applyBorder="1" applyAlignment="1">
      <alignment horizontal="right" vertical="top" wrapText="1"/>
    </xf>
    <xf numFmtId="39" fontId="2" fillId="2" borderId="9" xfId="0" applyNumberFormat="1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39" fontId="3" fillId="0" borderId="1" xfId="0" applyNumberFormat="1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5" xfId="0" applyFont="1" applyBorder="1" applyAlignment="1">
      <alignment horizontal="left" vertical="center" indent="1"/>
    </xf>
    <xf numFmtId="14" fontId="4" fillId="0" borderId="1" xfId="0" applyNumberFormat="1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39" fontId="4" fillId="0" borderId="1" xfId="0" applyNumberFormat="1" applyFont="1" applyBorder="1" applyAlignment="1">
      <alignment horizontal="left" vertical="center" indent="1"/>
    </xf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39" fontId="4" fillId="0" borderId="1" xfId="0" applyNumberFormat="1" applyFont="1" applyBorder="1" applyAlignment="1">
      <alignment horizontal="right" vertical="center" indent="1"/>
    </xf>
    <xf numFmtId="0" fontId="3" fillId="0" borderId="2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scheme val="none"/>
      </font>
      <numFmt numFmtId="7" formatCode="#,##0.00;\-#,##0.00"/>
      <fill>
        <patternFill patternType="solid">
          <fgColor rgb="FFFFFFFF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9A9A9A"/>
        </left>
        <right/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scheme val="none"/>
      </font>
      <numFmt numFmtId="7" formatCode="#,##0.00;\-#,##0.00"/>
      <fill>
        <patternFill patternType="solid">
          <fgColor rgb="FFFFFFFF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border outline="0">
        <top style="thin">
          <color rgb="FF9A9A9A"/>
        </top>
      </border>
    </dxf>
    <dxf>
      <border outline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</border>
    </dxf>
    <dxf>
      <border outline="0"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9A9A9A"/>
        </left>
        <right style="thin">
          <color rgb="FF9A9A9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9A9A9A"/>
        </left>
        <right/>
        <top style="thin">
          <color rgb="FF9A9A9A"/>
        </top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7" formatCode="#,##0.00;\-#,##0.00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7" formatCode="#,##0.00;\-#,##0.00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7" formatCode="#,##0.00;\-#,##0.00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 style="thin">
          <color rgb="FF9A9A9A"/>
        </right>
        <top style="thin">
          <color rgb="FF9A9A9A"/>
        </top>
        <bottom style="thin">
          <color rgb="FF9A9A9A"/>
        </bottom>
      </border>
    </dxf>
    <dxf>
      <border outline="0">
        <top style="thin">
          <color rgb="FF9A9A9A"/>
        </top>
      </border>
    </dxf>
    <dxf>
      <border outline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</border>
    </dxf>
    <dxf>
      <border outline="0"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9A9A9A"/>
        </left>
        <right style="thin">
          <color rgb="FF9A9A9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o2" displayName="Tablo2" ref="A2:O13" totalsRowShown="0" headerRowDxfId="27" headerRowBorderDxfId="26" tableBorderDxfId="25" totalsRowBorderDxfId="24">
  <autoFilter ref="A2:O13" xr:uid="{00000000-0009-0000-0100-000002000000}"/>
  <sortState xmlns:xlrd2="http://schemas.microsoft.com/office/spreadsheetml/2017/richdata2" ref="A3:O13">
    <sortCondition ref="A2:A13"/>
  </sortState>
  <tableColumns count="15">
    <tableColumn id="1" xr3:uid="{00000000-0010-0000-0000-000001000000}" name="#" dataDxfId="23"/>
    <tableColumn id="2" xr3:uid="{00000000-0010-0000-0000-000002000000}" name="." dataDxfId="22"/>
    <tableColumn id="3" xr3:uid="{00000000-0010-0000-0000-000003000000}" name="CARI_KOD" dataDxfId="21"/>
    <tableColumn id="4" xr3:uid="{00000000-0010-0000-0000-000004000000}" name="CARI_UNVAN" dataDxfId="20"/>
    <tableColumn id="5" xr3:uid="{00000000-0010-0000-0000-000005000000}" name="SIP_NO" dataDxfId="19"/>
    <tableColumn id="6" xr3:uid="{00000000-0010-0000-0000-000006000000}" name="SIP_TARIH" dataDxfId="18"/>
    <tableColumn id="7" xr3:uid="{00000000-0010-0000-0000-000007000000}" name="MALZ_KOD" dataDxfId="17"/>
    <tableColumn id="14" xr3:uid="{00000000-0010-0000-0000-00000E000000}" name="ZEN_RULO" dataDxfId="16"/>
    <tableColumn id="8" xr3:uid="{00000000-0010-0000-0000-000008000000}" name="MALZ_ACIKLAMA" dataDxfId="15"/>
    <tableColumn id="9" xr3:uid="{00000000-0010-0000-0000-000009000000}" name="SATIR_ACIKLAMA" dataDxfId="14"/>
    <tableColumn id="10" xr3:uid="{00000000-0010-0000-0000-00000A000000}" name="ELDEKI_MIKTAR" dataDxfId="13"/>
    <tableColumn id="11" xr3:uid="{00000000-0010-0000-0000-00000B000000}" name="BEKLEYEN_SIPARIS" dataDxfId="12"/>
    <tableColumn id="15" xr3:uid="{00000000-0010-0000-0000-00000F000000}" name="RULO" dataDxfId="11">
      <calculatedColumnFormula>VLOOKUP(Tablo2[[#This Row],[ZEN_RULO]],Tablo1[[Malzeme (Sınıfı) Açıklaması]:[Gerçek Stok]],3,0)</calculatedColumnFormula>
    </tableColumn>
    <tableColumn id="12" xr3:uid="{00000000-0010-0000-0000-00000C000000}" name="SEVKIYAT_ADI" dataDxfId="10"/>
    <tableColumn id="13" xr3:uid="{00000000-0010-0000-0000-00000D000000}" name="DOKUMANIZLEME_NO" dataDxfId="9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o1" displayName="Tablo1" ref="A2:E189" totalsRowShown="0" headerRowDxfId="8" headerRowBorderDxfId="7" tableBorderDxfId="6" totalsRowBorderDxfId="5">
  <autoFilter ref="A2:E189" xr:uid="{00000000-0009-0000-0100-000001000000}"/>
  <tableColumns count="5">
    <tableColumn id="1" xr3:uid="{00000000-0010-0000-0200-000001000000}" name="Malzeme (Sınıfı) Kodu" dataDxfId="4"/>
    <tableColumn id="2" xr3:uid="{00000000-0010-0000-0200-000002000000}" name="Malzeme (Sınıfı) Açıklaması" dataDxfId="3"/>
    <tableColumn id="3" xr3:uid="{00000000-0010-0000-0200-000003000000}" name="Ambar Adı" dataDxfId="2"/>
    <tableColumn id="4" xr3:uid="{00000000-0010-0000-0200-000004000000}" name="Fiili Stok" dataDxfId="1"/>
    <tableColumn id="5" xr3:uid="{00000000-0010-0000-0200-000005000000}" name="Gerçek Sto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Normal="100" workbookViewId="0">
      <selection activeCell="D17" sqref="D17"/>
    </sheetView>
  </sheetViews>
  <sheetFormatPr defaultColWidth="12.109375" defaultRowHeight="18" customHeight="1" x14ac:dyDescent="0.2"/>
  <cols>
    <col min="1" max="1" width="5.5546875" style="13" bestFit="1" customWidth="1"/>
    <col min="2" max="2" width="3.77734375" style="13" bestFit="1" customWidth="1"/>
    <col min="3" max="3" width="14.88671875" style="13" bestFit="1" customWidth="1"/>
    <col min="4" max="4" width="15.33203125" style="13" customWidth="1"/>
    <col min="5" max="5" width="15.33203125" style="13" bestFit="1" customWidth="1"/>
    <col min="6" max="6" width="11.33203125" style="22" bestFit="1" customWidth="1"/>
    <col min="7" max="7" width="18.109375" style="13" hidden="1" customWidth="1"/>
    <col min="8" max="8" width="28.88671875" style="13" bestFit="1" customWidth="1"/>
    <col min="9" max="9" width="35" style="13" bestFit="1" customWidth="1"/>
    <col min="10" max="10" width="21.5546875" style="13" bestFit="1" customWidth="1"/>
    <col min="11" max="11" width="6.5546875" style="22" customWidth="1"/>
    <col min="12" max="12" width="7.88671875" style="13" customWidth="1"/>
    <col min="13" max="13" width="7.88671875" style="22" customWidth="1"/>
    <col min="14" max="14" width="11.44140625" style="24" bestFit="1" customWidth="1"/>
    <col min="15" max="15" width="16.6640625" style="24" bestFit="1" customWidth="1"/>
    <col min="16" max="16384" width="12.109375" style="13"/>
  </cols>
  <sheetData>
    <row r="1" spans="1:15" ht="25.8" x14ac:dyDescent="0.2">
      <c r="A1" s="31" t="s">
        <v>437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5" ht="18" customHeight="1" x14ac:dyDescent="0.2">
      <c r="A2" s="16" t="s">
        <v>431</v>
      </c>
      <c r="B2" s="18" t="s">
        <v>432</v>
      </c>
      <c r="C2" s="17" t="s">
        <v>0</v>
      </c>
      <c r="D2" s="17" t="s">
        <v>1</v>
      </c>
      <c r="E2" s="17" t="s">
        <v>2</v>
      </c>
      <c r="F2" s="20" t="s">
        <v>3</v>
      </c>
      <c r="G2" s="17" t="s">
        <v>4</v>
      </c>
      <c r="H2" s="17" t="s">
        <v>433</v>
      </c>
      <c r="I2" s="17" t="s">
        <v>5</v>
      </c>
      <c r="J2" s="17" t="s">
        <v>6</v>
      </c>
      <c r="K2" s="20" t="s">
        <v>7</v>
      </c>
      <c r="L2" s="17" t="s">
        <v>8</v>
      </c>
      <c r="M2" s="20" t="s">
        <v>434</v>
      </c>
      <c r="N2" s="25" t="s">
        <v>9</v>
      </c>
      <c r="O2" s="26" t="s">
        <v>10</v>
      </c>
    </row>
    <row r="3" spans="1:15" ht="18" customHeight="1" x14ac:dyDescent="0.2">
      <c r="A3" s="30">
        <v>1</v>
      </c>
      <c r="B3" s="19" t="b">
        <v>0</v>
      </c>
      <c r="C3" s="14" t="s">
        <v>32</v>
      </c>
      <c r="D3" s="14" t="s">
        <v>33</v>
      </c>
      <c r="E3" s="14" t="s">
        <v>34</v>
      </c>
      <c r="F3" s="21">
        <v>46277</v>
      </c>
      <c r="G3" s="14" t="s">
        <v>35</v>
      </c>
      <c r="H3" s="14" t="s">
        <v>396</v>
      </c>
      <c r="I3" s="14" t="s">
        <v>36</v>
      </c>
      <c r="J3" s="14" t="s">
        <v>13</v>
      </c>
      <c r="K3" s="23">
        <v>15</v>
      </c>
      <c r="L3" s="15">
        <v>1</v>
      </c>
      <c r="M3" s="29">
        <f>VLOOKUP(Tablo2[[#This Row],[ZEN_RULO]],Tablo1[[Malzeme (Sınıfı) Açıklaması]:[Gerçek Stok]],3,0)</f>
        <v>298.88</v>
      </c>
      <c r="N3" s="27" t="s">
        <v>13</v>
      </c>
      <c r="O3" s="28" t="s">
        <v>13</v>
      </c>
    </row>
    <row r="4" spans="1:15" ht="18" customHeight="1" x14ac:dyDescent="0.2">
      <c r="A4" s="30">
        <v>2</v>
      </c>
      <c r="B4" s="19" t="b">
        <v>0</v>
      </c>
      <c r="C4" s="14" t="s">
        <v>32</v>
      </c>
      <c r="D4" s="14" t="s">
        <v>33</v>
      </c>
      <c r="E4" s="14" t="s">
        <v>34</v>
      </c>
      <c r="F4" s="21">
        <v>46277</v>
      </c>
      <c r="G4" s="14" t="s">
        <v>37</v>
      </c>
      <c r="H4" s="14" t="s">
        <v>398</v>
      </c>
      <c r="I4" s="14" t="s">
        <v>38</v>
      </c>
      <c r="J4" s="14" t="s">
        <v>13</v>
      </c>
      <c r="K4" s="23">
        <v>15</v>
      </c>
      <c r="L4" s="15">
        <v>1</v>
      </c>
      <c r="M4" s="29">
        <f>VLOOKUP(Tablo2[[#This Row],[ZEN_RULO]],Tablo1[[Malzeme (Sınıfı) Açıklaması]:[Gerçek Stok]],3,0)</f>
        <v>280.62400000000002</v>
      </c>
      <c r="N4" s="27" t="s">
        <v>13</v>
      </c>
      <c r="O4" s="28" t="s">
        <v>13</v>
      </c>
    </row>
    <row r="5" spans="1:15" ht="18" customHeight="1" x14ac:dyDescent="0.2">
      <c r="A5" s="30">
        <v>3</v>
      </c>
      <c r="B5" s="19" t="b">
        <v>0</v>
      </c>
      <c r="C5" s="14" t="s">
        <v>11</v>
      </c>
      <c r="D5" s="14" t="s">
        <v>12</v>
      </c>
      <c r="E5" s="14" t="s">
        <v>21</v>
      </c>
      <c r="F5" s="21">
        <v>46278</v>
      </c>
      <c r="G5" s="14" t="s">
        <v>22</v>
      </c>
      <c r="H5" s="14" t="s">
        <v>248</v>
      </c>
      <c r="I5" s="14" t="s">
        <v>23</v>
      </c>
      <c r="J5" s="14" t="s">
        <v>435</v>
      </c>
      <c r="K5" s="23">
        <v>10</v>
      </c>
      <c r="L5" s="15">
        <v>1</v>
      </c>
      <c r="M5" s="29">
        <f>VLOOKUP(Tablo2[[#This Row],[ZEN_RULO]],Tablo1[[Malzeme (Sınıfı) Açıklaması]:[Gerçek Stok]],3,0)</f>
        <v>4.9000000000000004</v>
      </c>
      <c r="N5" s="27" t="s">
        <v>13</v>
      </c>
      <c r="O5" s="28" t="s">
        <v>13</v>
      </c>
    </row>
    <row r="6" spans="1:15" ht="18" customHeight="1" x14ac:dyDescent="0.2">
      <c r="A6" s="30">
        <v>4</v>
      </c>
      <c r="B6" s="19" t="b">
        <v>0</v>
      </c>
      <c r="C6" s="14" t="s">
        <v>11</v>
      </c>
      <c r="D6" s="14" t="s">
        <v>12</v>
      </c>
      <c r="E6" s="14" t="s">
        <v>14</v>
      </c>
      <c r="F6" s="21">
        <v>46277</v>
      </c>
      <c r="G6" s="14" t="s">
        <v>15</v>
      </c>
      <c r="H6" s="14" t="s">
        <v>120</v>
      </c>
      <c r="I6" s="14" t="s">
        <v>16</v>
      </c>
      <c r="J6" s="14" t="s">
        <v>436</v>
      </c>
      <c r="K6" s="23">
        <v>5</v>
      </c>
      <c r="L6" s="15">
        <v>2</v>
      </c>
      <c r="M6" s="29">
        <f>VLOOKUP(Tablo2[[#This Row],[ZEN_RULO]],Tablo1[[Malzeme (Sınıfı) Açıklaması]:[Gerçek Stok]],3,0)</f>
        <v>7.5600000000000298</v>
      </c>
      <c r="N6" s="27" t="s">
        <v>13</v>
      </c>
      <c r="O6" s="28" t="s">
        <v>13</v>
      </c>
    </row>
    <row r="7" spans="1:15" ht="18" customHeight="1" x14ac:dyDescent="0.2">
      <c r="A7" s="30">
        <v>5</v>
      </c>
      <c r="B7" s="19" t="b">
        <v>0</v>
      </c>
      <c r="C7" s="14" t="s">
        <v>11</v>
      </c>
      <c r="D7" s="14" t="s">
        <v>12</v>
      </c>
      <c r="E7" s="14" t="s">
        <v>14</v>
      </c>
      <c r="F7" s="21">
        <v>46277</v>
      </c>
      <c r="G7" s="14" t="s">
        <v>17</v>
      </c>
      <c r="H7" s="14" t="s">
        <v>138</v>
      </c>
      <c r="I7" s="14" t="s">
        <v>18</v>
      </c>
      <c r="J7" s="14" t="s">
        <v>436</v>
      </c>
      <c r="K7" s="23">
        <v>5</v>
      </c>
      <c r="L7" s="15">
        <v>1</v>
      </c>
      <c r="M7" s="29">
        <f>VLOOKUP(Tablo2[[#This Row],[ZEN_RULO]],Tablo1[[Malzeme (Sınıfı) Açıklaması]:[Gerçek Stok]],3,0)</f>
        <v>47.5</v>
      </c>
      <c r="N7" s="27" t="s">
        <v>13</v>
      </c>
      <c r="O7" s="28" t="s">
        <v>13</v>
      </c>
    </row>
    <row r="8" spans="1:15" ht="18" customHeight="1" x14ac:dyDescent="0.2">
      <c r="A8" s="30">
        <v>6</v>
      </c>
      <c r="B8" s="19" t="b">
        <v>0</v>
      </c>
      <c r="C8" s="14" t="s">
        <v>27</v>
      </c>
      <c r="D8" s="14" t="s">
        <v>28</v>
      </c>
      <c r="E8" s="14" t="s">
        <v>29</v>
      </c>
      <c r="F8" s="21">
        <v>46276</v>
      </c>
      <c r="G8" s="14" t="s">
        <v>30</v>
      </c>
      <c r="H8" s="14" t="s">
        <v>420</v>
      </c>
      <c r="I8" s="14" t="s">
        <v>31</v>
      </c>
      <c r="J8" s="14" t="s">
        <v>13</v>
      </c>
      <c r="K8" s="23">
        <v>15</v>
      </c>
      <c r="L8" s="15">
        <v>1</v>
      </c>
      <c r="M8" s="29">
        <f>VLOOKUP(Tablo2[[#This Row],[ZEN_RULO]],Tablo1[[Malzeme (Sınıfı) Açıklaması]:[Gerçek Stok]],3,0)</f>
        <v>60.509999999999899</v>
      </c>
      <c r="N8" s="27" t="s">
        <v>13</v>
      </c>
      <c r="O8" s="28" t="s">
        <v>13</v>
      </c>
    </row>
    <row r="9" spans="1:15" ht="18" customHeight="1" x14ac:dyDescent="0.2">
      <c r="A9" s="30">
        <v>7</v>
      </c>
      <c r="B9" s="19" t="b">
        <v>0</v>
      </c>
      <c r="C9" s="14" t="s">
        <v>19</v>
      </c>
      <c r="D9" s="14" t="s">
        <v>20</v>
      </c>
      <c r="E9" s="14" t="s">
        <v>39</v>
      </c>
      <c r="F9" s="21">
        <v>46276</v>
      </c>
      <c r="G9" s="14" t="s">
        <v>40</v>
      </c>
      <c r="H9" s="14" t="s">
        <v>400</v>
      </c>
      <c r="I9" s="14" t="s">
        <v>41</v>
      </c>
      <c r="J9" s="14" t="s">
        <v>13</v>
      </c>
      <c r="K9" s="23">
        <v>15</v>
      </c>
      <c r="L9" s="15">
        <v>1</v>
      </c>
      <c r="M9" s="29">
        <f>VLOOKUP(Tablo2[[#This Row],[ZEN_RULO]],Tablo1[[Malzeme (Sınıfı) Açıklaması]:[Gerçek Stok]],3,0)</f>
        <v>482.99</v>
      </c>
      <c r="N9" s="27" t="s">
        <v>13</v>
      </c>
      <c r="O9" s="28" t="s">
        <v>13</v>
      </c>
    </row>
    <row r="10" spans="1:15" ht="18" customHeight="1" x14ac:dyDescent="0.2">
      <c r="A10" s="30">
        <v>8</v>
      </c>
      <c r="B10" s="19" t="b">
        <v>0</v>
      </c>
      <c r="C10" s="14" t="s">
        <v>19</v>
      </c>
      <c r="D10" s="14" t="s">
        <v>20</v>
      </c>
      <c r="E10" s="14" t="s">
        <v>24</v>
      </c>
      <c r="F10" s="21">
        <v>46277</v>
      </c>
      <c r="G10" s="14" t="s">
        <v>25</v>
      </c>
      <c r="H10" s="14" t="s">
        <v>400</v>
      </c>
      <c r="I10" s="14" t="s">
        <v>26</v>
      </c>
      <c r="J10" s="14" t="s">
        <v>13</v>
      </c>
      <c r="K10" s="23">
        <v>15</v>
      </c>
      <c r="L10" s="15">
        <v>1</v>
      </c>
      <c r="M10" s="29">
        <f>VLOOKUP(Tablo2[[#This Row],[ZEN_RULO]],Tablo1[[Malzeme (Sınıfı) Açıklaması]:[Gerçek Stok]],3,0)</f>
        <v>482.99</v>
      </c>
      <c r="N10" s="27" t="s">
        <v>13</v>
      </c>
      <c r="O10" s="28" t="s">
        <v>13</v>
      </c>
    </row>
    <row r="11" spans="1:15" ht="18" customHeight="1" x14ac:dyDescent="0.2">
      <c r="A11" s="30">
        <v>9</v>
      </c>
      <c r="B11" s="19" t="b">
        <v>0</v>
      </c>
      <c r="C11" s="14" t="s">
        <v>19</v>
      </c>
      <c r="D11" s="14" t="s">
        <v>20</v>
      </c>
      <c r="E11" s="14" t="s">
        <v>24</v>
      </c>
      <c r="F11" s="21">
        <v>46277</v>
      </c>
      <c r="G11" s="14" t="s">
        <v>42</v>
      </c>
      <c r="H11" s="14" t="s">
        <v>406</v>
      </c>
      <c r="I11" s="14" t="s">
        <v>43</v>
      </c>
      <c r="J11" s="14" t="s">
        <v>13</v>
      </c>
      <c r="K11" s="23">
        <v>15</v>
      </c>
      <c r="L11" s="15">
        <v>1</v>
      </c>
      <c r="M11" s="29">
        <f>VLOOKUP(Tablo2[[#This Row],[ZEN_RULO]],Tablo1[[Malzeme (Sınıfı) Açıklaması]:[Gerçek Stok]],3,0)</f>
        <v>47.410000000000203</v>
      </c>
      <c r="N11" s="27" t="s">
        <v>13</v>
      </c>
      <c r="O11" s="28" t="s">
        <v>13</v>
      </c>
    </row>
    <row r="12" spans="1:15" ht="18" customHeight="1" x14ac:dyDescent="0.2">
      <c r="A12" s="30">
        <v>10</v>
      </c>
      <c r="B12" s="19" t="b">
        <v>1</v>
      </c>
      <c r="C12" s="14" t="s">
        <v>19</v>
      </c>
      <c r="D12" s="14" t="s">
        <v>20</v>
      </c>
      <c r="E12" s="14" t="s">
        <v>49</v>
      </c>
      <c r="F12" s="21">
        <v>46278</v>
      </c>
      <c r="G12" s="14" t="s">
        <v>50</v>
      </c>
      <c r="H12" s="14" t="s">
        <v>366</v>
      </c>
      <c r="I12" s="14" t="s">
        <v>439</v>
      </c>
      <c r="J12" s="14" t="s">
        <v>13</v>
      </c>
      <c r="K12" s="23">
        <v>15</v>
      </c>
      <c r="L12" s="15">
        <v>1</v>
      </c>
      <c r="M12" s="29">
        <f>VLOOKUP(Tablo2[[#This Row],[ZEN_RULO]],Tablo1[[Malzeme (Sınıfı) Açıklaması]:[Gerçek Stok]],3,0)</f>
        <v>3.0000000000000702</v>
      </c>
      <c r="N12" s="27" t="s">
        <v>13</v>
      </c>
      <c r="O12" s="28" t="s">
        <v>13</v>
      </c>
    </row>
    <row r="13" spans="1:15" ht="18" customHeight="1" x14ac:dyDescent="0.2">
      <c r="A13" s="30">
        <v>11</v>
      </c>
      <c r="B13" s="19" t="b">
        <v>0</v>
      </c>
      <c r="C13" s="14" t="s">
        <v>44</v>
      </c>
      <c r="D13" s="14" t="s">
        <v>45</v>
      </c>
      <c r="E13" s="14" t="s">
        <v>46</v>
      </c>
      <c r="F13" s="21">
        <v>46278</v>
      </c>
      <c r="G13" s="14" t="s">
        <v>47</v>
      </c>
      <c r="H13" s="14" t="s">
        <v>400</v>
      </c>
      <c r="I13" s="14" t="s">
        <v>48</v>
      </c>
      <c r="J13" s="14" t="s">
        <v>13</v>
      </c>
      <c r="K13" s="23">
        <v>15</v>
      </c>
      <c r="L13" s="15">
        <v>1</v>
      </c>
      <c r="M13" s="29">
        <f>VLOOKUP(Tablo2[[#This Row],[ZEN_RULO]],Tablo1[[Malzeme (Sınıfı) Açıklaması]:[Gerçek Stok]],3,0)</f>
        <v>482.99</v>
      </c>
      <c r="N13" s="27" t="s">
        <v>438</v>
      </c>
      <c r="O13" s="28" t="s">
        <v>13</v>
      </c>
    </row>
  </sheetData>
  <mergeCells count="1">
    <mergeCell ref="A1:N1"/>
  </mergeCells>
  <pageMargins left="0.23622047244094491" right="0.23622047244094491" top="0.74803149606299213" bottom="0.74803149606299213" header="0.31496062992125984" footer="0.31496062992125984"/>
  <pageSetup paperSize="9" scale="97" orientation="landscape" r:id="rId1"/>
  <colBreaks count="1" manualBreakCount="1">
    <brk id="14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9"/>
  <sheetViews>
    <sheetView workbookViewId="0">
      <selection activeCell="B32" sqref="B32"/>
    </sheetView>
  </sheetViews>
  <sheetFormatPr defaultColWidth="12.109375" defaultRowHeight="15" customHeight="1" x14ac:dyDescent="0.3"/>
  <cols>
    <col min="1" max="1" width="20.88671875" style="1" customWidth="1"/>
    <col min="2" max="2" width="23.33203125" style="1" customWidth="1"/>
    <col min="3" max="3" width="10.88671875" style="1" customWidth="1"/>
    <col min="4" max="4" width="9.109375" style="1" customWidth="1"/>
    <col min="5" max="5" width="11.5546875" style="1" customWidth="1"/>
    <col min="6" max="16384" width="12.109375" style="1"/>
  </cols>
  <sheetData>
    <row r="1" spans="1:5" ht="17.25" customHeight="1" x14ac:dyDescent="0.3">
      <c r="A1" s="32"/>
      <c r="B1" s="32"/>
      <c r="C1" s="32"/>
      <c r="D1" s="32"/>
      <c r="E1" s="32"/>
    </row>
    <row r="2" spans="1:5" ht="17.25" customHeight="1" x14ac:dyDescent="0.3">
      <c r="A2" s="6" t="s">
        <v>51</v>
      </c>
      <c r="B2" s="7" t="s">
        <v>52</v>
      </c>
      <c r="C2" s="7" t="s">
        <v>53</v>
      </c>
      <c r="D2" s="7" t="s">
        <v>54</v>
      </c>
      <c r="E2" s="8" t="s">
        <v>55</v>
      </c>
    </row>
    <row r="3" spans="1:5" ht="13.5" customHeight="1" x14ac:dyDescent="0.3">
      <c r="A3" s="4" t="s">
        <v>56</v>
      </c>
      <c r="B3" s="2" t="s">
        <v>57</v>
      </c>
      <c r="C3" s="2" t="s">
        <v>58</v>
      </c>
      <c r="D3" s="3">
        <v>6</v>
      </c>
      <c r="E3" s="5">
        <v>6</v>
      </c>
    </row>
    <row r="4" spans="1:5" ht="13.5" customHeight="1" x14ac:dyDescent="0.3">
      <c r="A4" s="4" t="s">
        <v>59</v>
      </c>
      <c r="B4" s="2" t="s">
        <v>60</v>
      </c>
      <c r="C4" s="2" t="s">
        <v>58</v>
      </c>
      <c r="D4" s="3">
        <v>29.4</v>
      </c>
      <c r="E4" s="5">
        <v>29.4</v>
      </c>
    </row>
    <row r="5" spans="1:5" ht="13.5" customHeight="1" x14ac:dyDescent="0.3">
      <c r="A5" s="4" t="s">
        <v>61</v>
      </c>
      <c r="B5" s="2" t="s">
        <v>62</v>
      </c>
      <c r="C5" s="2" t="s">
        <v>58</v>
      </c>
      <c r="D5" s="3">
        <v>113.44</v>
      </c>
      <c r="E5" s="5">
        <v>95.04</v>
      </c>
    </row>
    <row r="6" spans="1:5" ht="13.5" customHeight="1" x14ac:dyDescent="0.3">
      <c r="A6" s="4" t="s">
        <v>63</v>
      </c>
      <c r="B6" s="2" t="s">
        <v>64</v>
      </c>
      <c r="C6" s="2" t="s">
        <v>58</v>
      </c>
      <c r="D6" s="3">
        <v>76</v>
      </c>
      <c r="E6" s="5">
        <v>76</v>
      </c>
    </row>
    <row r="7" spans="1:5" ht="13.5" customHeight="1" x14ac:dyDescent="0.3">
      <c r="A7" s="4" t="s">
        <v>65</v>
      </c>
      <c r="B7" s="2" t="s">
        <v>66</v>
      </c>
      <c r="C7" s="2" t="s">
        <v>58</v>
      </c>
      <c r="D7" s="3">
        <v>27.6</v>
      </c>
      <c r="E7" s="5">
        <v>27.6</v>
      </c>
    </row>
    <row r="8" spans="1:5" ht="13.5" customHeight="1" x14ac:dyDescent="0.3">
      <c r="A8" s="4" t="s">
        <v>67</v>
      </c>
      <c r="B8" s="2" t="s">
        <v>68</v>
      </c>
      <c r="C8" s="2" t="s">
        <v>58</v>
      </c>
      <c r="D8" s="3">
        <v>-2.2204460492503099E-15</v>
      </c>
      <c r="E8" s="5">
        <v>-2.2204460492503099E-15</v>
      </c>
    </row>
    <row r="9" spans="1:5" ht="13.5" customHeight="1" x14ac:dyDescent="0.3">
      <c r="A9" s="4" t="s">
        <v>69</v>
      </c>
      <c r="B9" s="2" t="s">
        <v>70</v>
      </c>
      <c r="C9" s="2" t="s">
        <v>58</v>
      </c>
      <c r="D9" s="3">
        <v>63.740000000000101</v>
      </c>
      <c r="E9" s="5">
        <v>63.740000000000101</v>
      </c>
    </row>
    <row r="10" spans="1:5" ht="13.5" customHeight="1" x14ac:dyDescent="0.3">
      <c r="A10" s="4" t="s">
        <v>71</v>
      </c>
      <c r="B10" s="2" t="s">
        <v>72</v>
      </c>
      <c r="C10" s="2" t="s">
        <v>58</v>
      </c>
      <c r="D10" s="3">
        <v>55.84</v>
      </c>
      <c r="E10" s="5">
        <v>55.84</v>
      </c>
    </row>
    <row r="11" spans="1:5" ht="13.5" customHeight="1" x14ac:dyDescent="0.3">
      <c r="A11" s="4" t="s">
        <v>73</v>
      </c>
      <c r="B11" s="2" t="s">
        <v>74</v>
      </c>
      <c r="C11" s="2" t="s">
        <v>58</v>
      </c>
      <c r="D11" s="3">
        <v>3.2</v>
      </c>
      <c r="E11" s="5">
        <v>3.2</v>
      </c>
    </row>
    <row r="12" spans="1:5" ht="13.5" customHeight="1" x14ac:dyDescent="0.3">
      <c r="A12" s="4" t="s">
        <v>75</v>
      </c>
      <c r="B12" s="2" t="s">
        <v>76</v>
      </c>
      <c r="C12" s="2" t="s">
        <v>58</v>
      </c>
      <c r="D12" s="3">
        <v>-1.7763568394002501E-15</v>
      </c>
      <c r="E12" s="5">
        <v>-1.6875389974302402E-14</v>
      </c>
    </row>
    <row r="13" spans="1:5" ht="13.5" customHeight="1" x14ac:dyDescent="0.3">
      <c r="A13" s="4" t="s">
        <v>77</v>
      </c>
      <c r="B13" s="2" t="s">
        <v>78</v>
      </c>
      <c r="C13" s="2" t="s">
        <v>58</v>
      </c>
      <c r="D13" s="3">
        <v>8.9499999999999904</v>
      </c>
      <c r="E13" s="5">
        <v>8.9499999999999904</v>
      </c>
    </row>
    <row r="14" spans="1:5" ht="13.5" customHeight="1" x14ac:dyDescent="0.3">
      <c r="A14" s="4" t="s">
        <v>79</v>
      </c>
      <c r="B14" s="2" t="s">
        <v>80</v>
      </c>
      <c r="C14" s="2" t="s">
        <v>58</v>
      </c>
      <c r="D14" s="3">
        <v>2.48689957516035E-14</v>
      </c>
      <c r="E14" s="5">
        <v>2.48689957516035E-14</v>
      </c>
    </row>
    <row r="15" spans="1:5" ht="13.5" customHeight="1" x14ac:dyDescent="0.3">
      <c r="A15" s="4" t="s">
        <v>81</v>
      </c>
      <c r="B15" s="2" t="s">
        <v>82</v>
      </c>
      <c r="C15" s="2" t="s">
        <v>58</v>
      </c>
      <c r="D15" s="3">
        <v>64.319999999999993</v>
      </c>
      <c r="E15" s="5">
        <v>64.319999999999993</v>
      </c>
    </row>
    <row r="16" spans="1:5" ht="13.5" customHeight="1" x14ac:dyDescent="0.3">
      <c r="A16" s="4" t="s">
        <v>83</v>
      </c>
      <c r="B16" s="2" t="s">
        <v>84</v>
      </c>
      <c r="C16" s="2" t="s">
        <v>58</v>
      </c>
      <c r="D16" s="3">
        <v>77.66</v>
      </c>
      <c r="E16" s="5">
        <v>77.66</v>
      </c>
    </row>
    <row r="17" spans="1:5" ht="13.5" customHeight="1" x14ac:dyDescent="0.3">
      <c r="A17" s="4" t="s">
        <v>85</v>
      </c>
      <c r="B17" s="2" t="s">
        <v>86</v>
      </c>
      <c r="C17" s="2" t="s">
        <v>58</v>
      </c>
      <c r="D17" s="3">
        <v>2.2500000000000102</v>
      </c>
      <c r="E17" s="5">
        <v>2.2500000000000102</v>
      </c>
    </row>
    <row r="18" spans="1:5" ht="13.5" customHeight="1" x14ac:dyDescent="0.3">
      <c r="A18" s="4" t="s">
        <v>87</v>
      </c>
      <c r="B18" s="2" t="s">
        <v>88</v>
      </c>
      <c r="C18" s="2" t="s">
        <v>58</v>
      </c>
      <c r="D18" s="3">
        <v>4</v>
      </c>
      <c r="E18" s="5">
        <v>4</v>
      </c>
    </row>
    <row r="19" spans="1:5" ht="13.5" customHeight="1" x14ac:dyDescent="0.3">
      <c r="A19" s="4" t="s">
        <v>89</v>
      </c>
      <c r="B19" s="2" t="s">
        <v>90</v>
      </c>
      <c r="C19" s="2" t="s">
        <v>58</v>
      </c>
      <c r="D19" s="3">
        <v>33</v>
      </c>
      <c r="E19" s="5">
        <v>33</v>
      </c>
    </row>
    <row r="20" spans="1:5" ht="13.5" customHeight="1" x14ac:dyDescent="0.3">
      <c r="A20" s="4" t="s">
        <v>91</v>
      </c>
      <c r="B20" s="2" t="s">
        <v>92</v>
      </c>
      <c r="C20" s="2" t="s">
        <v>58</v>
      </c>
      <c r="D20" s="3">
        <v>128.80000000000001</v>
      </c>
      <c r="E20" s="5">
        <v>110.4</v>
      </c>
    </row>
    <row r="21" spans="1:5" ht="13.5" customHeight="1" x14ac:dyDescent="0.3">
      <c r="A21" s="4" t="s">
        <v>93</v>
      </c>
      <c r="B21" s="2" t="s">
        <v>94</v>
      </c>
      <c r="C21" s="2" t="s">
        <v>58</v>
      </c>
      <c r="D21" s="3">
        <v>3.9999999999999898</v>
      </c>
      <c r="E21" s="5">
        <v>4.0000000000000098</v>
      </c>
    </row>
    <row r="22" spans="1:5" ht="13.5" customHeight="1" x14ac:dyDescent="0.3">
      <c r="A22" s="4" t="s">
        <v>95</v>
      </c>
      <c r="B22" s="2" t="s">
        <v>96</v>
      </c>
      <c r="C22" s="2" t="s">
        <v>58</v>
      </c>
      <c r="D22" s="3">
        <v>33.6</v>
      </c>
      <c r="E22" s="5">
        <v>33.6</v>
      </c>
    </row>
    <row r="23" spans="1:5" ht="13.5" customHeight="1" x14ac:dyDescent="0.3">
      <c r="A23" s="4" t="s">
        <v>97</v>
      </c>
      <c r="B23" s="2" t="s">
        <v>98</v>
      </c>
      <c r="C23" s="2" t="s">
        <v>58</v>
      </c>
      <c r="D23" s="3">
        <v>35.5</v>
      </c>
      <c r="E23" s="5">
        <v>35.5</v>
      </c>
    </row>
    <row r="24" spans="1:5" ht="13.5" customHeight="1" x14ac:dyDescent="0.3">
      <c r="A24" s="4" t="s">
        <v>99</v>
      </c>
      <c r="B24" s="2" t="s">
        <v>100</v>
      </c>
      <c r="C24" s="2" t="s">
        <v>58</v>
      </c>
      <c r="D24" s="3">
        <v>45.84</v>
      </c>
      <c r="E24" s="5">
        <v>45.84</v>
      </c>
    </row>
    <row r="25" spans="1:5" ht="13.5" customHeight="1" x14ac:dyDescent="0.3">
      <c r="A25" s="4" t="s">
        <v>101</v>
      </c>
      <c r="B25" s="2" t="s">
        <v>102</v>
      </c>
      <c r="C25" s="2" t="s">
        <v>58</v>
      </c>
      <c r="D25" s="3">
        <v>38.72</v>
      </c>
      <c r="E25" s="5">
        <v>38.72</v>
      </c>
    </row>
    <row r="26" spans="1:5" ht="13.5" customHeight="1" x14ac:dyDescent="0.3">
      <c r="A26" s="4" t="s">
        <v>103</v>
      </c>
      <c r="B26" s="2" t="s">
        <v>104</v>
      </c>
      <c r="C26" s="2" t="s">
        <v>58</v>
      </c>
      <c r="D26" s="3">
        <v>125</v>
      </c>
      <c r="E26" s="5">
        <v>125</v>
      </c>
    </row>
    <row r="27" spans="1:5" ht="13.5" customHeight="1" x14ac:dyDescent="0.3">
      <c r="A27" s="4" t="s">
        <v>105</v>
      </c>
      <c r="B27" s="2" t="s">
        <v>106</v>
      </c>
      <c r="C27" s="2" t="s">
        <v>58</v>
      </c>
      <c r="D27" s="3">
        <v>9.2000000000000099</v>
      </c>
      <c r="E27" s="5">
        <v>9.2000000000000099</v>
      </c>
    </row>
    <row r="28" spans="1:5" ht="13.5" customHeight="1" x14ac:dyDescent="0.3">
      <c r="A28" s="4" t="s">
        <v>107</v>
      </c>
      <c r="B28" s="2" t="s">
        <v>108</v>
      </c>
      <c r="C28" s="2" t="s">
        <v>58</v>
      </c>
      <c r="D28" s="3">
        <v>48</v>
      </c>
      <c r="E28" s="5">
        <v>48</v>
      </c>
    </row>
    <row r="29" spans="1:5" ht="13.5" customHeight="1" x14ac:dyDescent="0.3">
      <c r="A29" s="4" t="s">
        <v>109</v>
      </c>
      <c r="B29" s="2" t="s">
        <v>110</v>
      </c>
      <c r="C29" s="2" t="s">
        <v>58</v>
      </c>
      <c r="D29" s="3">
        <v>18</v>
      </c>
      <c r="E29" s="5">
        <v>18</v>
      </c>
    </row>
    <row r="30" spans="1:5" ht="13.5" customHeight="1" x14ac:dyDescent="0.3">
      <c r="A30" s="4" t="s">
        <v>111</v>
      </c>
      <c r="B30" s="2" t="s">
        <v>112</v>
      </c>
      <c r="C30" s="2" t="s">
        <v>58</v>
      </c>
      <c r="D30" s="3">
        <v>69.799999999999898</v>
      </c>
      <c r="E30" s="5">
        <v>69.799999999999898</v>
      </c>
    </row>
    <row r="31" spans="1:5" ht="13.5" customHeight="1" x14ac:dyDescent="0.3">
      <c r="A31" s="4" t="s">
        <v>113</v>
      </c>
      <c r="B31" s="2" t="s">
        <v>114</v>
      </c>
      <c r="C31" s="2" t="s">
        <v>58</v>
      </c>
      <c r="D31" s="3">
        <v>105</v>
      </c>
      <c r="E31" s="5">
        <v>105</v>
      </c>
    </row>
    <row r="32" spans="1:5" ht="13.5" customHeight="1" x14ac:dyDescent="0.3">
      <c r="A32" s="4" t="s">
        <v>115</v>
      </c>
      <c r="B32" s="2" t="s">
        <v>116</v>
      </c>
      <c r="C32" s="2" t="s">
        <v>58</v>
      </c>
      <c r="D32" s="3">
        <v>8.4</v>
      </c>
      <c r="E32" s="5">
        <v>8.4</v>
      </c>
    </row>
    <row r="33" spans="1:5" ht="13.5" customHeight="1" x14ac:dyDescent="0.3">
      <c r="A33" s="4" t="s">
        <v>117</v>
      </c>
      <c r="B33" s="2" t="s">
        <v>118</v>
      </c>
      <c r="C33" s="2" t="s">
        <v>58</v>
      </c>
      <c r="D33" s="3">
        <v>37.5</v>
      </c>
      <c r="E33" s="5">
        <v>37.5</v>
      </c>
    </row>
    <row r="34" spans="1:5" ht="13.5" customHeight="1" x14ac:dyDescent="0.3">
      <c r="A34" s="4" t="s">
        <v>119</v>
      </c>
      <c r="B34" s="2" t="s">
        <v>120</v>
      </c>
      <c r="C34" s="2" t="s">
        <v>58</v>
      </c>
      <c r="D34" s="3">
        <v>7.5600000000000298</v>
      </c>
      <c r="E34" s="5">
        <v>7.5600000000000298</v>
      </c>
    </row>
    <row r="35" spans="1:5" ht="13.5" customHeight="1" x14ac:dyDescent="0.3">
      <c r="A35" s="4" t="s">
        <v>121</v>
      </c>
      <c r="B35" s="2" t="s">
        <v>122</v>
      </c>
      <c r="C35" s="2" t="s">
        <v>58</v>
      </c>
      <c r="D35" s="3">
        <v>72.799999999999898</v>
      </c>
      <c r="E35" s="5">
        <v>72.8</v>
      </c>
    </row>
    <row r="36" spans="1:5" ht="13.5" customHeight="1" x14ac:dyDescent="0.3">
      <c r="A36" s="4" t="s">
        <v>123</v>
      </c>
      <c r="B36" s="2" t="s">
        <v>124</v>
      </c>
      <c r="C36" s="2" t="s">
        <v>58</v>
      </c>
      <c r="D36" s="3">
        <v>75</v>
      </c>
      <c r="E36" s="5">
        <v>75</v>
      </c>
    </row>
    <row r="37" spans="1:5" ht="13.5" customHeight="1" x14ac:dyDescent="0.3">
      <c r="A37" s="4" t="s">
        <v>125</v>
      </c>
      <c r="B37" s="2" t="s">
        <v>126</v>
      </c>
      <c r="C37" s="2" t="s">
        <v>58</v>
      </c>
      <c r="D37" s="3">
        <v>19.12</v>
      </c>
      <c r="E37" s="5">
        <v>19.12</v>
      </c>
    </row>
    <row r="38" spans="1:5" ht="13.5" customHeight="1" x14ac:dyDescent="0.3">
      <c r="A38" s="4" t="s">
        <v>127</v>
      </c>
      <c r="B38" s="2" t="s">
        <v>128</v>
      </c>
      <c r="C38" s="2" t="s">
        <v>58</v>
      </c>
      <c r="D38" s="3">
        <v>7.5</v>
      </c>
      <c r="E38" s="5">
        <v>4.5000000000000098</v>
      </c>
    </row>
    <row r="39" spans="1:5" ht="13.5" customHeight="1" x14ac:dyDescent="0.3">
      <c r="A39" s="4" t="s">
        <v>129</v>
      </c>
      <c r="B39" s="2" t="s">
        <v>130</v>
      </c>
      <c r="C39" s="2" t="s">
        <v>58</v>
      </c>
      <c r="D39" s="3">
        <v>42.24</v>
      </c>
      <c r="E39" s="5">
        <v>42.24</v>
      </c>
    </row>
    <row r="40" spans="1:5" ht="13.5" customHeight="1" x14ac:dyDescent="0.3">
      <c r="A40" s="4" t="s">
        <v>131</v>
      </c>
      <c r="B40" s="2" t="s">
        <v>132</v>
      </c>
      <c r="C40" s="2" t="s">
        <v>58</v>
      </c>
      <c r="D40" s="3">
        <v>10.4</v>
      </c>
      <c r="E40" s="5">
        <v>6.9599999999999804</v>
      </c>
    </row>
    <row r="41" spans="1:5" ht="13.5" customHeight="1" x14ac:dyDescent="0.3">
      <c r="A41" s="4" t="s">
        <v>133</v>
      </c>
      <c r="B41" s="2" t="s">
        <v>134</v>
      </c>
      <c r="C41" s="2" t="s">
        <v>58</v>
      </c>
      <c r="D41" s="3">
        <v>57</v>
      </c>
      <c r="E41" s="5">
        <v>47</v>
      </c>
    </row>
    <row r="42" spans="1:5" ht="13.5" customHeight="1" x14ac:dyDescent="0.3">
      <c r="A42" s="4" t="s">
        <v>135</v>
      </c>
      <c r="B42" s="2" t="s">
        <v>136</v>
      </c>
      <c r="C42" s="2" t="s">
        <v>58</v>
      </c>
      <c r="D42" s="3">
        <v>2.1</v>
      </c>
      <c r="E42" s="5">
        <v>0.74000000000000199</v>
      </c>
    </row>
    <row r="43" spans="1:5" ht="13.5" customHeight="1" x14ac:dyDescent="0.3">
      <c r="A43" s="4" t="s">
        <v>137</v>
      </c>
      <c r="B43" s="2" t="s">
        <v>138</v>
      </c>
      <c r="C43" s="2" t="s">
        <v>58</v>
      </c>
      <c r="D43" s="3">
        <v>47.5</v>
      </c>
      <c r="E43" s="5">
        <v>47.5</v>
      </c>
    </row>
    <row r="44" spans="1:5" ht="13.5" customHeight="1" x14ac:dyDescent="0.3">
      <c r="A44" s="4" t="s">
        <v>139</v>
      </c>
      <c r="B44" s="2" t="s">
        <v>140</v>
      </c>
      <c r="C44" s="2" t="s">
        <v>58</v>
      </c>
      <c r="D44" s="3">
        <v>45.12</v>
      </c>
      <c r="E44" s="5">
        <v>45.12</v>
      </c>
    </row>
    <row r="45" spans="1:5" ht="13.5" customHeight="1" x14ac:dyDescent="0.3">
      <c r="A45" s="4" t="s">
        <v>141</v>
      </c>
      <c r="B45" s="2" t="s">
        <v>142</v>
      </c>
      <c r="C45" s="2" t="s">
        <v>58</v>
      </c>
      <c r="D45" s="3">
        <v>65.12</v>
      </c>
      <c r="E45" s="5">
        <v>65.12</v>
      </c>
    </row>
    <row r="46" spans="1:5" ht="13.5" customHeight="1" x14ac:dyDescent="0.3">
      <c r="A46" s="4" t="s">
        <v>143</v>
      </c>
      <c r="B46" s="2" t="s">
        <v>144</v>
      </c>
      <c r="C46" s="2" t="s">
        <v>58</v>
      </c>
      <c r="D46" s="3">
        <v>124</v>
      </c>
      <c r="E46" s="5">
        <v>124</v>
      </c>
    </row>
    <row r="47" spans="1:5" ht="13.5" customHeight="1" x14ac:dyDescent="0.3">
      <c r="A47" s="4" t="s">
        <v>145</v>
      </c>
      <c r="B47" s="2" t="s">
        <v>146</v>
      </c>
      <c r="C47" s="2" t="s">
        <v>58</v>
      </c>
      <c r="D47" s="3">
        <v>8.8817841970012504E-16</v>
      </c>
      <c r="E47" s="5">
        <v>-8.8817841970012504E-16</v>
      </c>
    </row>
    <row r="48" spans="1:5" ht="13.5" customHeight="1" x14ac:dyDescent="0.3">
      <c r="A48" s="4" t="s">
        <v>147</v>
      </c>
      <c r="B48" s="2" t="s">
        <v>148</v>
      </c>
      <c r="C48" s="2" t="s">
        <v>58</v>
      </c>
      <c r="D48" s="3">
        <v>42</v>
      </c>
      <c r="E48" s="5">
        <v>42</v>
      </c>
    </row>
    <row r="49" spans="1:5" ht="13.5" customHeight="1" x14ac:dyDescent="0.3">
      <c r="A49" s="4" t="s">
        <v>149</v>
      </c>
      <c r="B49" s="2" t="s">
        <v>150</v>
      </c>
      <c r="C49" s="2" t="s">
        <v>58</v>
      </c>
      <c r="D49" s="3">
        <v>19.920000000000002</v>
      </c>
      <c r="E49" s="5">
        <v>19.920000000000002</v>
      </c>
    </row>
    <row r="50" spans="1:5" ht="13.5" customHeight="1" x14ac:dyDescent="0.3">
      <c r="A50" s="4" t="s">
        <v>151</v>
      </c>
      <c r="B50" s="2" t="s">
        <v>152</v>
      </c>
      <c r="C50" s="2" t="s">
        <v>58</v>
      </c>
      <c r="D50" s="3">
        <v>33.119999999999997</v>
      </c>
      <c r="E50" s="5">
        <v>33.119999999999997</v>
      </c>
    </row>
    <row r="51" spans="1:5" ht="13.5" customHeight="1" x14ac:dyDescent="0.3">
      <c r="A51" s="4" t="s">
        <v>153</v>
      </c>
      <c r="B51" s="2" t="s">
        <v>154</v>
      </c>
      <c r="C51" s="2" t="s">
        <v>58</v>
      </c>
      <c r="D51" s="3">
        <v>54</v>
      </c>
      <c r="E51" s="5">
        <v>54</v>
      </c>
    </row>
    <row r="52" spans="1:5" ht="13.5" customHeight="1" x14ac:dyDescent="0.3">
      <c r="A52" s="4" t="s">
        <v>155</v>
      </c>
      <c r="B52" s="2" t="s">
        <v>156</v>
      </c>
      <c r="C52" s="2" t="s">
        <v>58</v>
      </c>
      <c r="D52" s="3">
        <v>34.96</v>
      </c>
      <c r="E52" s="5">
        <v>34.96</v>
      </c>
    </row>
    <row r="53" spans="1:5" ht="13.5" customHeight="1" x14ac:dyDescent="0.3">
      <c r="A53" s="4" t="s">
        <v>157</v>
      </c>
      <c r="B53" s="2" t="s">
        <v>158</v>
      </c>
      <c r="C53" s="2" t="s">
        <v>58</v>
      </c>
      <c r="D53" s="3">
        <v>48.45</v>
      </c>
      <c r="E53" s="5">
        <v>44.45</v>
      </c>
    </row>
    <row r="54" spans="1:5" ht="13.5" customHeight="1" x14ac:dyDescent="0.3">
      <c r="A54" s="4" t="s">
        <v>159</v>
      </c>
      <c r="B54" s="2" t="s">
        <v>160</v>
      </c>
      <c r="C54" s="2" t="s">
        <v>58</v>
      </c>
      <c r="D54" s="3">
        <v>48.6</v>
      </c>
      <c r="E54" s="5">
        <v>40.799999999999997</v>
      </c>
    </row>
    <row r="55" spans="1:5" ht="13.5" customHeight="1" x14ac:dyDescent="0.3">
      <c r="A55" s="4" t="s">
        <v>161</v>
      </c>
      <c r="B55" s="2" t="s">
        <v>162</v>
      </c>
      <c r="C55" s="2" t="s">
        <v>58</v>
      </c>
      <c r="D55" s="3">
        <v>10.89</v>
      </c>
      <c r="E55" s="5">
        <v>7.6899999999999702</v>
      </c>
    </row>
    <row r="56" spans="1:5" ht="13.5" customHeight="1" x14ac:dyDescent="0.3">
      <c r="A56" s="4" t="s">
        <v>163</v>
      </c>
      <c r="B56" s="2" t="s">
        <v>164</v>
      </c>
      <c r="C56" s="2" t="s">
        <v>58</v>
      </c>
      <c r="D56" s="3">
        <v>28.936</v>
      </c>
      <c r="E56" s="5">
        <v>28.936</v>
      </c>
    </row>
    <row r="57" spans="1:5" ht="13.5" customHeight="1" x14ac:dyDescent="0.3">
      <c r="A57" s="4" t="s">
        <v>165</v>
      </c>
      <c r="B57" s="2" t="s">
        <v>166</v>
      </c>
      <c r="C57" s="2" t="s">
        <v>58</v>
      </c>
      <c r="D57" s="3">
        <v>19.36</v>
      </c>
      <c r="E57" s="5">
        <v>19.36</v>
      </c>
    </row>
    <row r="58" spans="1:5" ht="13.5" customHeight="1" x14ac:dyDescent="0.3">
      <c r="A58" s="4" t="s">
        <v>167</v>
      </c>
      <c r="B58" s="2" t="s">
        <v>168</v>
      </c>
      <c r="C58" s="2" t="s">
        <v>58</v>
      </c>
      <c r="D58" s="3">
        <v>45.7</v>
      </c>
      <c r="E58" s="5">
        <v>45.7</v>
      </c>
    </row>
    <row r="59" spans="1:5" ht="13.5" customHeight="1" x14ac:dyDescent="0.3">
      <c r="A59" s="4" t="s">
        <v>169</v>
      </c>
      <c r="B59" s="2" t="s">
        <v>170</v>
      </c>
      <c r="C59" s="2" t="s">
        <v>58</v>
      </c>
      <c r="D59" s="3">
        <v>17.64</v>
      </c>
      <c r="E59" s="5">
        <v>17.64</v>
      </c>
    </row>
    <row r="60" spans="1:5" ht="13.5" customHeight="1" x14ac:dyDescent="0.3">
      <c r="A60" s="4" t="s">
        <v>171</v>
      </c>
      <c r="B60" s="2" t="s">
        <v>172</v>
      </c>
      <c r="C60" s="2" t="s">
        <v>58</v>
      </c>
      <c r="D60" s="3">
        <v>41.68</v>
      </c>
      <c r="E60" s="5">
        <v>41.68</v>
      </c>
    </row>
    <row r="61" spans="1:5" ht="13.5" customHeight="1" x14ac:dyDescent="0.3">
      <c r="A61" s="4" t="s">
        <v>173</v>
      </c>
      <c r="B61" s="2" t="s">
        <v>174</v>
      </c>
      <c r="C61" s="2" t="s">
        <v>58</v>
      </c>
      <c r="D61" s="3">
        <v>163.19999999999999</v>
      </c>
      <c r="E61" s="5">
        <v>122.6</v>
      </c>
    </row>
    <row r="62" spans="1:5" ht="13.5" customHeight="1" x14ac:dyDescent="0.3">
      <c r="A62" s="4" t="s">
        <v>175</v>
      </c>
      <c r="B62" s="2" t="s">
        <v>176</v>
      </c>
      <c r="C62" s="2" t="s">
        <v>58</v>
      </c>
      <c r="D62" s="3">
        <v>20.399999999999999</v>
      </c>
      <c r="E62" s="5">
        <v>20.399999999999999</v>
      </c>
    </row>
    <row r="63" spans="1:5" ht="13.5" customHeight="1" x14ac:dyDescent="0.3">
      <c r="A63" s="4" t="s">
        <v>177</v>
      </c>
      <c r="B63" s="2" t="s">
        <v>178</v>
      </c>
      <c r="C63" s="2" t="s">
        <v>58</v>
      </c>
      <c r="D63" s="3">
        <v>29</v>
      </c>
      <c r="E63" s="5">
        <v>24</v>
      </c>
    </row>
    <row r="64" spans="1:5" ht="13.5" customHeight="1" x14ac:dyDescent="0.3">
      <c r="A64" s="4" t="s">
        <v>179</v>
      </c>
      <c r="B64" s="2" t="s">
        <v>180</v>
      </c>
      <c r="C64" s="2" t="s">
        <v>58</v>
      </c>
      <c r="D64" s="3">
        <v>8.64</v>
      </c>
      <c r="E64" s="5">
        <v>8.6400000000000201</v>
      </c>
    </row>
    <row r="65" spans="1:5" ht="13.5" customHeight="1" x14ac:dyDescent="0.3">
      <c r="A65" s="4" t="s">
        <v>181</v>
      </c>
      <c r="B65" s="2" t="s">
        <v>182</v>
      </c>
      <c r="C65" s="2" t="s">
        <v>58</v>
      </c>
      <c r="D65" s="3">
        <v>125.12</v>
      </c>
      <c r="E65" s="5">
        <v>103.04</v>
      </c>
    </row>
    <row r="66" spans="1:5" ht="13.5" customHeight="1" x14ac:dyDescent="0.3">
      <c r="A66" s="4" t="s">
        <v>183</v>
      </c>
      <c r="B66" s="2" t="s">
        <v>184</v>
      </c>
      <c r="C66" s="2" t="s">
        <v>58</v>
      </c>
      <c r="D66" s="3">
        <v>7</v>
      </c>
      <c r="E66" s="5">
        <v>6.9999999999999902</v>
      </c>
    </row>
    <row r="67" spans="1:5" ht="13.5" customHeight="1" x14ac:dyDescent="0.3">
      <c r="A67" s="4" t="s">
        <v>185</v>
      </c>
      <c r="B67" s="2" t="s">
        <v>186</v>
      </c>
      <c r="C67" s="2" t="s">
        <v>58</v>
      </c>
      <c r="D67" s="3">
        <v>42.16</v>
      </c>
      <c r="E67" s="5">
        <v>20.88</v>
      </c>
    </row>
    <row r="68" spans="1:5" ht="13.5" customHeight="1" x14ac:dyDescent="0.3">
      <c r="A68" s="4" t="s">
        <v>187</v>
      </c>
      <c r="B68" s="2" t="s">
        <v>188</v>
      </c>
      <c r="C68" s="2" t="s">
        <v>58</v>
      </c>
      <c r="D68" s="3">
        <v>11</v>
      </c>
      <c r="E68" s="5">
        <v>11</v>
      </c>
    </row>
    <row r="69" spans="1:5" ht="13.5" customHeight="1" x14ac:dyDescent="0.3">
      <c r="A69" s="4" t="s">
        <v>189</v>
      </c>
      <c r="B69" s="2" t="s">
        <v>190</v>
      </c>
      <c r="C69" s="2" t="s">
        <v>58</v>
      </c>
      <c r="D69" s="3">
        <v>40.799999999999997</v>
      </c>
      <c r="E69" s="5">
        <v>39.6</v>
      </c>
    </row>
    <row r="70" spans="1:5" ht="13.5" customHeight="1" x14ac:dyDescent="0.3">
      <c r="A70" s="4" t="s">
        <v>191</v>
      </c>
      <c r="B70" s="2" t="s">
        <v>192</v>
      </c>
      <c r="C70" s="2" t="s">
        <v>58</v>
      </c>
      <c r="D70" s="3">
        <v>39.200000000000003</v>
      </c>
      <c r="E70" s="5">
        <v>20.8</v>
      </c>
    </row>
    <row r="71" spans="1:5" ht="13.5" customHeight="1" x14ac:dyDescent="0.3">
      <c r="A71" s="4" t="s">
        <v>193</v>
      </c>
      <c r="B71" s="2" t="s">
        <v>194</v>
      </c>
      <c r="C71" s="2" t="s">
        <v>58</v>
      </c>
      <c r="D71" s="3">
        <v>110</v>
      </c>
      <c r="E71" s="5">
        <v>110</v>
      </c>
    </row>
    <row r="72" spans="1:5" ht="13.5" customHeight="1" x14ac:dyDescent="0.3">
      <c r="A72" s="4" t="s">
        <v>195</v>
      </c>
      <c r="B72" s="2" t="s">
        <v>196</v>
      </c>
      <c r="C72" s="2" t="s">
        <v>58</v>
      </c>
      <c r="D72" s="3">
        <v>53.84</v>
      </c>
      <c r="E72" s="5">
        <v>53.84</v>
      </c>
    </row>
    <row r="73" spans="1:5" ht="13.5" customHeight="1" x14ac:dyDescent="0.3">
      <c r="A73" s="4" t="s">
        <v>197</v>
      </c>
      <c r="B73" s="2" t="s">
        <v>198</v>
      </c>
      <c r="C73" s="2" t="s">
        <v>58</v>
      </c>
      <c r="D73" s="3">
        <v>86.3</v>
      </c>
      <c r="E73" s="5">
        <v>86.3</v>
      </c>
    </row>
    <row r="74" spans="1:5" ht="13.5" customHeight="1" x14ac:dyDescent="0.3">
      <c r="A74" s="4" t="s">
        <v>199</v>
      </c>
      <c r="B74" s="2" t="s">
        <v>200</v>
      </c>
      <c r="C74" s="2" t="s">
        <v>58</v>
      </c>
      <c r="D74" s="3">
        <v>28.08</v>
      </c>
      <c r="E74" s="5">
        <v>28.08</v>
      </c>
    </row>
    <row r="75" spans="1:5" ht="13.5" customHeight="1" x14ac:dyDescent="0.3">
      <c r="A75" s="4" t="s">
        <v>201</v>
      </c>
      <c r="B75" s="2" t="s">
        <v>202</v>
      </c>
      <c r="C75" s="2" t="s">
        <v>58</v>
      </c>
      <c r="D75" s="3">
        <v>34.380000000000003</v>
      </c>
      <c r="E75" s="5">
        <v>19.659999999999901</v>
      </c>
    </row>
    <row r="76" spans="1:5" ht="13.5" customHeight="1" x14ac:dyDescent="0.3">
      <c r="A76" s="4" t="s">
        <v>203</v>
      </c>
      <c r="B76" s="2" t="s">
        <v>204</v>
      </c>
      <c r="C76" s="2" t="s">
        <v>58</v>
      </c>
      <c r="D76" s="3">
        <v>12</v>
      </c>
      <c r="E76" s="5">
        <v>12</v>
      </c>
    </row>
    <row r="77" spans="1:5" ht="13.5" customHeight="1" x14ac:dyDescent="0.3">
      <c r="A77" s="4" t="s">
        <v>205</v>
      </c>
      <c r="B77" s="2" t="s">
        <v>206</v>
      </c>
      <c r="C77" s="2" t="s">
        <v>58</v>
      </c>
      <c r="D77" s="3">
        <v>9.9999999999992997E-2</v>
      </c>
      <c r="E77" s="5">
        <v>9.9999999999992997E-2</v>
      </c>
    </row>
    <row r="78" spans="1:5" ht="13.5" customHeight="1" x14ac:dyDescent="0.3">
      <c r="A78" s="4" t="s">
        <v>207</v>
      </c>
      <c r="B78" s="2" t="s">
        <v>208</v>
      </c>
      <c r="C78" s="2" t="s">
        <v>58</v>
      </c>
      <c r="D78" s="3">
        <v>95.67</v>
      </c>
      <c r="E78" s="5">
        <v>95.67</v>
      </c>
    </row>
    <row r="79" spans="1:5" ht="13.5" customHeight="1" x14ac:dyDescent="0.3">
      <c r="A79" s="4" t="s">
        <v>209</v>
      </c>
      <c r="B79" s="2" t="s">
        <v>210</v>
      </c>
      <c r="C79" s="2" t="s">
        <v>58</v>
      </c>
      <c r="D79" s="3">
        <v>1.9999999999988499E-2</v>
      </c>
      <c r="E79" s="5">
        <v>2.0000000000017299E-2</v>
      </c>
    </row>
    <row r="80" spans="1:5" ht="13.5" customHeight="1" x14ac:dyDescent="0.3">
      <c r="A80" s="4" t="s">
        <v>211</v>
      </c>
      <c r="B80" s="2" t="s">
        <v>212</v>
      </c>
      <c r="C80" s="2" t="s">
        <v>58</v>
      </c>
      <c r="D80" s="3">
        <v>43.84</v>
      </c>
      <c r="E80" s="5">
        <v>21.76</v>
      </c>
    </row>
    <row r="81" spans="1:5" ht="13.5" customHeight="1" x14ac:dyDescent="0.3">
      <c r="A81" s="4" t="s">
        <v>213</v>
      </c>
      <c r="B81" s="2" t="s">
        <v>214</v>
      </c>
      <c r="C81" s="2" t="s">
        <v>58</v>
      </c>
      <c r="D81" s="3">
        <v>66.3</v>
      </c>
      <c r="E81" s="5">
        <v>66.3</v>
      </c>
    </row>
    <row r="82" spans="1:5" ht="13.5" customHeight="1" x14ac:dyDescent="0.3">
      <c r="A82" s="4" t="s">
        <v>215</v>
      </c>
      <c r="B82" s="2" t="s">
        <v>216</v>
      </c>
      <c r="C82" s="2" t="s">
        <v>58</v>
      </c>
      <c r="D82" s="3">
        <v>43.84</v>
      </c>
      <c r="E82" s="5">
        <v>43.84</v>
      </c>
    </row>
    <row r="83" spans="1:5" ht="13.5" customHeight="1" x14ac:dyDescent="0.3">
      <c r="A83" s="4" t="s">
        <v>217</v>
      </c>
      <c r="B83" s="2" t="s">
        <v>218</v>
      </c>
      <c r="C83" s="2" t="s">
        <v>58</v>
      </c>
      <c r="D83" s="3">
        <v>50</v>
      </c>
      <c r="E83" s="5">
        <v>50</v>
      </c>
    </row>
    <row r="84" spans="1:5" ht="13.5" customHeight="1" x14ac:dyDescent="0.3">
      <c r="A84" s="4" t="s">
        <v>219</v>
      </c>
      <c r="B84" s="2" t="s">
        <v>220</v>
      </c>
      <c r="C84" s="2" t="s">
        <v>58</v>
      </c>
      <c r="D84" s="3">
        <v>47.64</v>
      </c>
      <c r="E84" s="5">
        <v>47.64</v>
      </c>
    </row>
    <row r="85" spans="1:5" ht="13.5" customHeight="1" x14ac:dyDescent="0.3">
      <c r="A85" s="4" t="s">
        <v>221</v>
      </c>
      <c r="B85" s="2" t="s">
        <v>222</v>
      </c>
      <c r="C85" s="2" t="s">
        <v>58</v>
      </c>
      <c r="D85" s="3">
        <v>10.24</v>
      </c>
      <c r="E85" s="5">
        <v>2.8799999999999901</v>
      </c>
    </row>
    <row r="86" spans="1:5" ht="13.5" customHeight="1" x14ac:dyDescent="0.3">
      <c r="A86" s="4" t="s">
        <v>223</v>
      </c>
      <c r="B86" s="2" t="s">
        <v>224</v>
      </c>
      <c r="C86" s="2" t="s">
        <v>58</v>
      </c>
      <c r="D86" s="3">
        <v>29</v>
      </c>
      <c r="E86" s="5">
        <v>29</v>
      </c>
    </row>
    <row r="87" spans="1:5" ht="13.5" customHeight="1" x14ac:dyDescent="0.3">
      <c r="A87" s="4" t="s">
        <v>225</v>
      </c>
      <c r="B87" s="2" t="s">
        <v>226</v>
      </c>
      <c r="C87" s="2" t="s">
        <v>58</v>
      </c>
      <c r="D87" s="3">
        <v>54.24</v>
      </c>
      <c r="E87" s="5">
        <v>54.24</v>
      </c>
    </row>
    <row r="88" spans="1:5" ht="13.5" customHeight="1" x14ac:dyDescent="0.3">
      <c r="A88" s="4" t="s">
        <v>227</v>
      </c>
      <c r="B88" s="2" t="s">
        <v>228</v>
      </c>
      <c r="C88" s="2" t="s">
        <v>58</v>
      </c>
      <c r="D88" s="3">
        <v>6.6500000000000101</v>
      </c>
      <c r="E88" s="5">
        <v>4.6500000000000101</v>
      </c>
    </row>
    <row r="89" spans="1:5" ht="13.5" customHeight="1" x14ac:dyDescent="0.3">
      <c r="A89" s="4" t="s">
        <v>229</v>
      </c>
      <c r="B89" s="2" t="s">
        <v>230</v>
      </c>
      <c r="C89" s="2" t="s">
        <v>58</v>
      </c>
      <c r="D89" s="3">
        <v>26.76</v>
      </c>
      <c r="E89" s="5">
        <v>26.76</v>
      </c>
    </row>
    <row r="90" spans="1:5" ht="13.5" customHeight="1" x14ac:dyDescent="0.3">
      <c r="A90" s="4" t="s">
        <v>231</v>
      </c>
      <c r="B90" s="2" t="s">
        <v>232</v>
      </c>
      <c r="C90" s="2" t="s">
        <v>58</v>
      </c>
      <c r="D90" s="3">
        <v>101.92</v>
      </c>
      <c r="E90" s="5">
        <v>79.84</v>
      </c>
    </row>
    <row r="91" spans="1:5" ht="13.5" customHeight="1" x14ac:dyDescent="0.3">
      <c r="A91" s="4" t="s">
        <v>233</v>
      </c>
      <c r="B91" s="2" t="s">
        <v>234</v>
      </c>
      <c r="C91" s="2" t="s">
        <v>58</v>
      </c>
      <c r="D91" s="3">
        <v>103.2</v>
      </c>
      <c r="E91" s="5">
        <v>103.2</v>
      </c>
    </row>
    <row r="92" spans="1:5" ht="13.5" customHeight="1" x14ac:dyDescent="0.3">
      <c r="A92" s="4" t="s">
        <v>235</v>
      </c>
      <c r="B92" s="2" t="s">
        <v>236</v>
      </c>
      <c r="C92" s="2" t="s">
        <v>58</v>
      </c>
      <c r="D92" s="3">
        <v>2.1599999999999802</v>
      </c>
      <c r="E92" s="5">
        <v>2.1599999999999802</v>
      </c>
    </row>
    <row r="93" spans="1:5" ht="13.5" customHeight="1" x14ac:dyDescent="0.3">
      <c r="A93" s="4" t="s">
        <v>237</v>
      </c>
      <c r="B93" s="2" t="s">
        <v>238</v>
      </c>
      <c r="C93" s="2" t="s">
        <v>58</v>
      </c>
      <c r="D93" s="3">
        <v>49.4</v>
      </c>
      <c r="E93" s="5">
        <v>49.4</v>
      </c>
    </row>
    <row r="94" spans="1:5" ht="13.5" customHeight="1" x14ac:dyDescent="0.3">
      <c r="A94" s="4" t="s">
        <v>239</v>
      </c>
      <c r="B94" s="2" t="s">
        <v>240</v>
      </c>
      <c r="C94" s="2" t="s">
        <v>58</v>
      </c>
      <c r="D94" s="3">
        <v>26.76</v>
      </c>
      <c r="E94" s="5">
        <v>26.76</v>
      </c>
    </row>
    <row r="95" spans="1:5" ht="13.5" customHeight="1" x14ac:dyDescent="0.3">
      <c r="A95" s="4" t="s">
        <v>241</v>
      </c>
      <c r="B95" s="2" t="s">
        <v>242</v>
      </c>
      <c r="C95" s="2" t="s">
        <v>58</v>
      </c>
      <c r="D95" s="3">
        <v>60.48</v>
      </c>
      <c r="E95" s="5">
        <v>53.12</v>
      </c>
    </row>
    <row r="96" spans="1:5" ht="13.5" customHeight="1" x14ac:dyDescent="0.3">
      <c r="A96" s="4" t="s">
        <v>243</v>
      </c>
      <c r="B96" s="2" t="s">
        <v>244</v>
      </c>
      <c r="C96" s="2" t="s">
        <v>58</v>
      </c>
      <c r="D96" s="3">
        <v>32.6</v>
      </c>
      <c r="E96" s="5">
        <v>32.6</v>
      </c>
    </row>
    <row r="97" spans="1:5" ht="13.5" customHeight="1" x14ac:dyDescent="0.3">
      <c r="A97" s="4" t="s">
        <v>245</v>
      </c>
      <c r="B97" s="2" t="s">
        <v>246</v>
      </c>
      <c r="C97" s="2" t="s">
        <v>58</v>
      </c>
      <c r="D97" s="3">
        <v>26.72</v>
      </c>
      <c r="E97" s="5">
        <v>5.5199999999999898</v>
      </c>
    </row>
    <row r="98" spans="1:5" ht="13.5" customHeight="1" x14ac:dyDescent="0.3">
      <c r="A98" s="4" t="s">
        <v>247</v>
      </c>
      <c r="B98" s="2" t="s">
        <v>248</v>
      </c>
      <c r="C98" s="2" t="s">
        <v>58</v>
      </c>
      <c r="D98" s="3">
        <v>4.9000000000000004</v>
      </c>
      <c r="E98" s="5">
        <v>-2.6</v>
      </c>
    </row>
    <row r="99" spans="1:5" ht="13.5" customHeight="1" x14ac:dyDescent="0.3">
      <c r="A99" s="4" t="s">
        <v>249</v>
      </c>
      <c r="B99" s="2" t="s">
        <v>250</v>
      </c>
      <c r="C99" s="2" t="s">
        <v>58</v>
      </c>
      <c r="D99" s="3">
        <v>40.200000000000003</v>
      </c>
      <c r="E99" s="5">
        <v>40.200000000000003</v>
      </c>
    </row>
    <row r="100" spans="1:5" ht="13.5" customHeight="1" x14ac:dyDescent="0.3">
      <c r="A100" s="4" t="s">
        <v>251</v>
      </c>
      <c r="B100" s="2" t="s">
        <v>252</v>
      </c>
      <c r="C100" s="2" t="s">
        <v>58</v>
      </c>
      <c r="D100" s="3">
        <v>39.04</v>
      </c>
      <c r="E100" s="5">
        <v>28</v>
      </c>
    </row>
    <row r="101" spans="1:5" ht="13.5" customHeight="1" x14ac:dyDescent="0.3">
      <c r="A101" s="4" t="s">
        <v>253</v>
      </c>
      <c r="B101" s="2" t="s">
        <v>254</v>
      </c>
      <c r="C101" s="2" t="s">
        <v>58</v>
      </c>
      <c r="D101" s="3">
        <v>36</v>
      </c>
      <c r="E101" s="5">
        <v>36</v>
      </c>
    </row>
    <row r="102" spans="1:5" ht="13.5" customHeight="1" x14ac:dyDescent="0.3">
      <c r="A102" s="4" t="s">
        <v>255</v>
      </c>
      <c r="B102" s="2" t="s">
        <v>256</v>
      </c>
      <c r="C102" s="2" t="s">
        <v>58</v>
      </c>
      <c r="D102" s="3">
        <v>27.92</v>
      </c>
      <c r="E102" s="5">
        <v>27.92</v>
      </c>
    </row>
    <row r="103" spans="1:5" ht="13.5" customHeight="1" x14ac:dyDescent="0.3">
      <c r="A103" s="4" t="s">
        <v>257</v>
      </c>
      <c r="B103" s="2" t="s">
        <v>258</v>
      </c>
      <c r="C103" s="2" t="s">
        <v>58</v>
      </c>
      <c r="D103" s="3">
        <v>34</v>
      </c>
      <c r="E103" s="5">
        <v>34</v>
      </c>
    </row>
    <row r="104" spans="1:5" ht="13.5" customHeight="1" x14ac:dyDescent="0.3">
      <c r="A104" s="4" t="s">
        <v>259</v>
      </c>
      <c r="B104" s="2" t="s">
        <v>260</v>
      </c>
      <c r="C104" s="2" t="s">
        <v>58</v>
      </c>
      <c r="D104" s="3">
        <v>45.12</v>
      </c>
      <c r="E104" s="5">
        <v>45.12</v>
      </c>
    </row>
    <row r="105" spans="1:5" ht="13.5" customHeight="1" x14ac:dyDescent="0.3">
      <c r="A105" s="4" t="s">
        <v>261</v>
      </c>
      <c r="B105" s="2" t="s">
        <v>262</v>
      </c>
      <c r="C105" s="2" t="s">
        <v>58</v>
      </c>
      <c r="D105" s="3">
        <v>52.96</v>
      </c>
      <c r="E105" s="5">
        <v>52.96</v>
      </c>
    </row>
    <row r="106" spans="1:5" ht="13.5" customHeight="1" x14ac:dyDescent="0.3">
      <c r="A106" s="4" t="s">
        <v>263</v>
      </c>
      <c r="B106" s="2" t="s">
        <v>264</v>
      </c>
      <c r="C106" s="2" t="s">
        <v>58</v>
      </c>
      <c r="D106" s="3">
        <v>80</v>
      </c>
      <c r="E106" s="5">
        <v>80</v>
      </c>
    </row>
    <row r="107" spans="1:5" ht="13.5" customHeight="1" x14ac:dyDescent="0.3">
      <c r="A107" s="4" t="s">
        <v>265</v>
      </c>
      <c r="B107" s="2" t="s">
        <v>266</v>
      </c>
      <c r="C107" s="2" t="s">
        <v>58</v>
      </c>
      <c r="D107" s="3">
        <v>160</v>
      </c>
      <c r="E107" s="5">
        <v>160</v>
      </c>
    </row>
    <row r="108" spans="1:5" ht="13.5" customHeight="1" x14ac:dyDescent="0.3">
      <c r="A108" s="4" t="s">
        <v>267</v>
      </c>
      <c r="B108" s="2" t="s">
        <v>268</v>
      </c>
      <c r="C108" s="2" t="s">
        <v>58</v>
      </c>
      <c r="D108" s="3">
        <v>60.05</v>
      </c>
      <c r="E108" s="5">
        <v>57.65</v>
      </c>
    </row>
    <row r="109" spans="1:5" ht="13.5" customHeight="1" x14ac:dyDescent="0.3">
      <c r="A109" s="4" t="s">
        <v>269</v>
      </c>
      <c r="B109" s="2" t="s">
        <v>270</v>
      </c>
      <c r="C109" s="2" t="s">
        <v>58</v>
      </c>
      <c r="D109" s="3">
        <v>34</v>
      </c>
      <c r="E109" s="5">
        <v>34</v>
      </c>
    </row>
    <row r="110" spans="1:5" ht="13.5" customHeight="1" x14ac:dyDescent="0.3">
      <c r="A110" s="4" t="s">
        <v>271</v>
      </c>
      <c r="B110" s="2" t="s">
        <v>272</v>
      </c>
      <c r="C110" s="2" t="s">
        <v>58</v>
      </c>
      <c r="D110" s="3">
        <v>45.12</v>
      </c>
      <c r="E110" s="5">
        <v>45.12</v>
      </c>
    </row>
    <row r="111" spans="1:5" ht="13.5" customHeight="1" x14ac:dyDescent="0.3">
      <c r="A111" s="4" t="s">
        <v>273</v>
      </c>
      <c r="B111" s="2" t="s">
        <v>274</v>
      </c>
      <c r="C111" s="2" t="s">
        <v>58</v>
      </c>
      <c r="D111" s="3">
        <v>124.32</v>
      </c>
      <c r="E111" s="5">
        <v>124.32</v>
      </c>
    </row>
    <row r="112" spans="1:5" ht="13.5" customHeight="1" x14ac:dyDescent="0.3">
      <c r="A112" s="4" t="s">
        <v>275</v>
      </c>
      <c r="B112" s="2" t="s">
        <v>276</v>
      </c>
      <c r="C112" s="2" t="s">
        <v>58</v>
      </c>
      <c r="D112" s="3">
        <v>80</v>
      </c>
      <c r="E112" s="5">
        <v>80</v>
      </c>
    </row>
    <row r="113" spans="1:5" ht="13.5" customHeight="1" x14ac:dyDescent="0.3">
      <c r="A113" s="4" t="s">
        <v>277</v>
      </c>
      <c r="B113" s="2" t="s">
        <v>278</v>
      </c>
      <c r="C113" s="2" t="s">
        <v>58</v>
      </c>
      <c r="D113" s="3">
        <v>160</v>
      </c>
      <c r="E113" s="5">
        <v>148</v>
      </c>
    </row>
    <row r="114" spans="1:5" ht="13.5" customHeight="1" x14ac:dyDescent="0.3">
      <c r="A114" s="4" t="s">
        <v>279</v>
      </c>
      <c r="B114" s="2" t="s">
        <v>280</v>
      </c>
      <c r="C114" s="2" t="s">
        <v>58</v>
      </c>
      <c r="D114" s="3">
        <v>62.29</v>
      </c>
      <c r="E114" s="5">
        <v>62.29</v>
      </c>
    </row>
    <row r="115" spans="1:5" ht="13.5" customHeight="1" x14ac:dyDescent="0.3">
      <c r="A115" s="4" t="s">
        <v>281</v>
      </c>
      <c r="B115" s="2" t="s">
        <v>282</v>
      </c>
      <c r="C115" s="2" t="s">
        <v>58</v>
      </c>
      <c r="D115" s="3">
        <v>34</v>
      </c>
      <c r="E115" s="5">
        <v>34</v>
      </c>
    </row>
    <row r="116" spans="1:5" ht="13.5" customHeight="1" x14ac:dyDescent="0.3">
      <c r="A116" s="4" t="s">
        <v>283</v>
      </c>
      <c r="B116" s="2" t="s">
        <v>284</v>
      </c>
      <c r="C116" s="2" t="s">
        <v>58</v>
      </c>
      <c r="D116" s="3">
        <v>43.68</v>
      </c>
      <c r="E116" s="5">
        <v>43.68</v>
      </c>
    </row>
    <row r="117" spans="1:5" ht="13.5" customHeight="1" x14ac:dyDescent="0.3">
      <c r="A117" s="4" t="s">
        <v>285</v>
      </c>
      <c r="B117" s="2" t="s">
        <v>286</v>
      </c>
      <c r="C117" s="2" t="s">
        <v>58</v>
      </c>
      <c r="D117" s="3">
        <v>52.96</v>
      </c>
      <c r="E117" s="5">
        <v>52.96</v>
      </c>
    </row>
    <row r="118" spans="1:5" ht="13.5" customHeight="1" x14ac:dyDescent="0.3">
      <c r="A118" s="4" t="s">
        <v>287</v>
      </c>
      <c r="B118" s="2" t="s">
        <v>288</v>
      </c>
      <c r="C118" s="2" t="s">
        <v>58</v>
      </c>
      <c r="D118" s="3">
        <v>76</v>
      </c>
      <c r="E118" s="5">
        <v>76</v>
      </c>
    </row>
    <row r="119" spans="1:5" ht="13.5" customHeight="1" x14ac:dyDescent="0.3">
      <c r="A119" s="4" t="s">
        <v>289</v>
      </c>
      <c r="B119" s="2" t="s">
        <v>290</v>
      </c>
      <c r="C119" s="2" t="s">
        <v>58</v>
      </c>
      <c r="D119" s="3">
        <v>160</v>
      </c>
      <c r="E119" s="5">
        <v>160</v>
      </c>
    </row>
    <row r="120" spans="1:5" ht="13.5" customHeight="1" x14ac:dyDescent="0.3">
      <c r="A120" s="4" t="s">
        <v>291</v>
      </c>
      <c r="B120" s="2" t="s">
        <v>292</v>
      </c>
      <c r="C120" s="2" t="s">
        <v>58</v>
      </c>
      <c r="D120" s="3">
        <v>62.45</v>
      </c>
      <c r="E120" s="5">
        <v>62.45</v>
      </c>
    </row>
    <row r="121" spans="1:5" ht="13.5" customHeight="1" x14ac:dyDescent="0.3">
      <c r="A121" s="4" t="s">
        <v>293</v>
      </c>
      <c r="B121" s="2" t="s">
        <v>294</v>
      </c>
      <c r="C121" s="2" t="s">
        <v>58</v>
      </c>
      <c r="D121" s="3">
        <v>34</v>
      </c>
      <c r="E121" s="5">
        <v>34</v>
      </c>
    </row>
    <row r="122" spans="1:5" ht="13.5" customHeight="1" x14ac:dyDescent="0.3">
      <c r="A122" s="4" t="s">
        <v>295</v>
      </c>
      <c r="B122" s="2" t="s">
        <v>296</v>
      </c>
      <c r="C122" s="2" t="s">
        <v>58</v>
      </c>
      <c r="D122" s="3">
        <v>42.72</v>
      </c>
      <c r="E122" s="5">
        <v>42.72</v>
      </c>
    </row>
    <row r="123" spans="1:5" ht="13.5" customHeight="1" x14ac:dyDescent="0.3">
      <c r="A123" s="4" t="s">
        <v>297</v>
      </c>
      <c r="B123" s="2" t="s">
        <v>298</v>
      </c>
      <c r="C123" s="2" t="s">
        <v>58</v>
      </c>
      <c r="D123" s="3">
        <v>61.44</v>
      </c>
      <c r="E123" s="5">
        <v>61.44</v>
      </c>
    </row>
    <row r="124" spans="1:5" ht="13.5" customHeight="1" x14ac:dyDescent="0.3">
      <c r="A124" s="4" t="s">
        <v>299</v>
      </c>
      <c r="B124" s="2" t="s">
        <v>300</v>
      </c>
      <c r="C124" s="2" t="s">
        <v>58</v>
      </c>
      <c r="D124" s="3">
        <v>80</v>
      </c>
      <c r="E124" s="5">
        <v>80</v>
      </c>
    </row>
    <row r="125" spans="1:5" ht="13.5" customHeight="1" x14ac:dyDescent="0.3">
      <c r="A125" s="4" t="s">
        <v>301</v>
      </c>
      <c r="B125" s="2" t="s">
        <v>302</v>
      </c>
      <c r="C125" s="2" t="s">
        <v>58</v>
      </c>
      <c r="D125" s="3">
        <v>160</v>
      </c>
      <c r="E125" s="5">
        <v>160</v>
      </c>
    </row>
    <row r="126" spans="1:5" ht="13.5" customHeight="1" x14ac:dyDescent="0.3">
      <c r="A126" s="4" t="s">
        <v>303</v>
      </c>
      <c r="B126" s="2" t="s">
        <v>304</v>
      </c>
      <c r="C126" s="2" t="s">
        <v>58</v>
      </c>
      <c r="D126" s="3">
        <v>75.25</v>
      </c>
      <c r="E126" s="5">
        <v>75.25</v>
      </c>
    </row>
    <row r="127" spans="1:5" ht="13.5" customHeight="1" x14ac:dyDescent="0.3">
      <c r="A127" s="4" t="s">
        <v>305</v>
      </c>
      <c r="B127" s="2" t="s">
        <v>306</v>
      </c>
      <c r="C127" s="2" t="s">
        <v>58</v>
      </c>
      <c r="D127" s="3">
        <v>0</v>
      </c>
      <c r="E127" s="5">
        <v>-0.16</v>
      </c>
    </row>
    <row r="128" spans="1:5" ht="13.5" customHeight="1" x14ac:dyDescent="0.3">
      <c r="A128" s="4" t="s">
        <v>307</v>
      </c>
      <c r="B128" s="2" t="s">
        <v>308</v>
      </c>
      <c r="C128" s="2" t="s">
        <v>58</v>
      </c>
      <c r="D128" s="3">
        <v>0</v>
      </c>
      <c r="E128" s="5">
        <v>-0.48</v>
      </c>
    </row>
    <row r="129" spans="1:5" ht="13.5" customHeight="1" x14ac:dyDescent="0.3">
      <c r="A129" s="4" t="s">
        <v>309</v>
      </c>
      <c r="B129" s="2" t="s">
        <v>310</v>
      </c>
      <c r="C129" s="2" t="s">
        <v>58</v>
      </c>
      <c r="D129" s="3">
        <v>0</v>
      </c>
      <c r="E129" s="5">
        <v>-0.48</v>
      </c>
    </row>
    <row r="130" spans="1:5" ht="13.5" customHeight="1" x14ac:dyDescent="0.3">
      <c r="A130" s="4" t="s">
        <v>311</v>
      </c>
      <c r="B130" s="2" t="s">
        <v>312</v>
      </c>
      <c r="C130" s="2" t="s">
        <v>58</v>
      </c>
      <c r="D130" s="3">
        <v>127.4</v>
      </c>
      <c r="E130" s="5">
        <v>127.4</v>
      </c>
    </row>
    <row r="131" spans="1:5" ht="13.5" customHeight="1" x14ac:dyDescent="0.3">
      <c r="A131" s="4" t="s">
        <v>313</v>
      </c>
      <c r="B131" s="2" t="s">
        <v>314</v>
      </c>
      <c r="C131" s="2" t="s">
        <v>58</v>
      </c>
      <c r="D131" s="3">
        <v>0.62000000000013</v>
      </c>
      <c r="E131" s="5">
        <v>-1.5399999999998299</v>
      </c>
    </row>
    <row r="132" spans="1:5" ht="13.5" customHeight="1" x14ac:dyDescent="0.3">
      <c r="A132" s="4" t="s">
        <v>315</v>
      </c>
      <c r="B132" s="2" t="s">
        <v>316</v>
      </c>
      <c r="C132" s="2" t="s">
        <v>58</v>
      </c>
      <c r="D132" s="3">
        <v>-4.4408920985006301E-16</v>
      </c>
      <c r="E132" s="5">
        <v>-12.16</v>
      </c>
    </row>
    <row r="133" spans="1:5" ht="13.5" customHeight="1" x14ac:dyDescent="0.3">
      <c r="A133" s="4" t="s">
        <v>317</v>
      </c>
      <c r="B133" s="2" t="s">
        <v>318</v>
      </c>
      <c r="C133" s="2" t="s">
        <v>58</v>
      </c>
      <c r="D133" s="3">
        <v>26.979999999999901</v>
      </c>
      <c r="E133" s="5">
        <v>26.98</v>
      </c>
    </row>
    <row r="134" spans="1:5" ht="13.5" customHeight="1" x14ac:dyDescent="0.3">
      <c r="A134" s="4" t="s">
        <v>319</v>
      </c>
      <c r="B134" s="2" t="s">
        <v>320</v>
      </c>
      <c r="C134" s="2" t="s">
        <v>58</v>
      </c>
      <c r="D134" s="3">
        <v>83.98</v>
      </c>
      <c r="E134" s="5">
        <v>83.98</v>
      </c>
    </row>
    <row r="135" spans="1:5" ht="13.5" customHeight="1" x14ac:dyDescent="0.3">
      <c r="A135" s="4" t="s">
        <v>321</v>
      </c>
      <c r="B135" s="2" t="s">
        <v>322</v>
      </c>
      <c r="C135" s="2" t="s">
        <v>58</v>
      </c>
      <c r="D135" s="3">
        <v>26.880000000000098</v>
      </c>
      <c r="E135" s="5">
        <v>26.560000000000102</v>
      </c>
    </row>
    <row r="136" spans="1:5" ht="13.5" customHeight="1" x14ac:dyDescent="0.3">
      <c r="A136" s="4" t="s">
        <v>323</v>
      </c>
      <c r="B136" s="2" t="s">
        <v>324</v>
      </c>
      <c r="C136" s="2" t="s">
        <v>58</v>
      </c>
      <c r="D136" s="3">
        <v>59.39</v>
      </c>
      <c r="E136" s="5">
        <v>59.3900000000001</v>
      </c>
    </row>
    <row r="137" spans="1:5" ht="13.5" customHeight="1" x14ac:dyDescent="0.3">
      <c r="A137" s="4" t="s">
        <v>325</v>
      </c>
      <c r="B137" s="2" t="s">
        <v>326</v>
      </c>
      <c r="C137" s="2" t="s">
        <v>58</v>
      </c>
      <c r="D137" s="3">
        <v>7.1054273576010006E-14</v>
      </c>
      <c r="E137" s="5">
        <v>-33.479999999999798</v>
      </c>
    </row>
    <row r="138" spans="1:5" ht="13.5" customHeight="1" x14ac:dyDescent="0.3">
      <c r="A138" s="4" t="s">
        <v>327</v>
      </c>
      <c r="B138" s="2" t="s">
        <v>328</v>
      </c>
      <c r="C138" s="2" t="s">
        <v>58</v>
      </c>
      <c r="D138" s="3">
        <v>-7.3718808835110394E-14</v>
      </c>
      <c r="E138" s="5">
        <v>-10.000000000000099</v>
      </c>
    </row>
    <row r="139" spans="1:5" ht="13.5" customHeight="1" x14ac:dyDescent="0.3">
      <c r="A139" s="4" t="s">
        <v>329</v>
      </c>
      <c r="B139" s="2" t="s">
        <v>330</v>
      </c>
      <c r="C139" s="2" t="s">
        <v>58</v>
      </c>
      <c r="D139" s="3">
        <v>-3.5527136788005001E-15</v>
      </c>
      <c r="E139" s="5">
        <v>-44.600000000000101</v>
      </c>
    </row>
    <row r="140" spans="1:5" ht="13.5" customHeight="1" x14ac:dyDescent="0.3">
      <c r="A140" s="4" t="s">
        <v>331</v>
      </c>
      <c r="B140" s="2" t="s">
        <v>332</v>
      </c>
      <c r="C140" s="2" t="s">
        <v>58</v>
      </c>
      <c r="D140" s="3">
        <v>1.1723955140041701E-13</v>
      </c>
      <c r="E140" s="5">
        <v>-68.599999999999895</v>
      </c>
    </row>
    <row r="141" spans="1:5" ht="13.5" customHeight="1" x14ac:dyDescent="0.3">
      <c r="A141" s="4" t="s">
        <v>333</v>
      </c>
      <c r="B141" s="2" t="s">
        <v>334</v>
      </c>
      <c r="C141" s="2" t="s">
        <v>58</v>
      </c>
      <c r="D141" s="3">
        <v>1.52100000000014</v>
      </c>
      <c r="E141" s="5">
        <v>-15.1989999999999</v>
      </c>
    </row>
    <row r="142" spans="1:5" ht="13.5" customHeight="1" x14ac:dyDescent="0.3">
      <c r="A142" s="4" t="s">
        <v>335</v>
      </c>
      <c r="B142" s="2" t="s">
        <v>336</v>
      </c>
      <c r="C142" s="2" t="s">
        <v>58</v>
      </c>
      <c r="D142" s="3">
        <v>2.6</v>
      </c>
      <c r="E142" s="5">
        <v>1.1000000000000001</v>
      </c>
    </row>
    <row r="143" spans="1:5" ht="13.5" customHeight="1" x14ac:dyDescent="0.3">
      <c r="A143" s="4" t="s">
        <v>337</v>
      </c>
      <c r="B143" s="2" t="s">
        <v>338</v>
      </c>
      <c r="C143" s="2" t="s">
        <v>58</v>
      </c>
      <c r="D143" s="3">
        <v>2.4000000000000101</v>
      </c>
      <c r="E143" s="5">
        <v>0.24000000000000801</v>
      </c>
    </row>
    <row r="144" spans="1:5" ht="13.5" customHeight="1" x14ac:dyDescent="0.3">
      <c r="A144" s="4" t="s">
        <v>339</v>
      </c>
      <c r="B144" s="2" t="s">
        <v>340</v>
      </c>
      <c r="C144" s="2" t="s">
        <v>58</v>
      </c>
      <c r="D144" s="3">
        <v>3.5527136788005001E-15</v>
      </c>
      <c r="E144" s="5">
        <v>-2.56</v>
      </c>
    </row>
    <row r="145" spans="1:5" ht="13.5" customHeight="1" x14ac:dyDescent="0.3">
      <c r="A145" s="4" t="s">
        <v>341</v>
      </c>
      <c r="B145" s="2" t="s">
        <v>342</v>
      </c>
      <c r="C145" s="2" t="s">
        <v>58</v>
      </c>
      <c r="D145" s="3">
        <v>7.1</v>
      </c>
      <c r="E145" s="5">
        <v>7.1</v>
      </c>
    </row>
    <row r="146" spans="1:5" ht="13.5" customHeight="1" x14ac:dyDescent="0.3">
      <c r="A146" s="4" t="s">
        <v>343</v>
      </c>
      <c r="B146" s="2" t="s">
        <v>344</v>
      </c>
      <c r="C146" s="2" t="s">
        <v>58</v>
      </c>
      <c r="D146" s="3">
        <v>95.6</v>
      </c>
      <c r="E146" s="5">
        <v>95.6</v>
      </c>
    </row>
    <row r="147" spans="1:5" ht="13.5" customHeight="1" x14ac:dyDescent="0.3">
      <c r="A147" s="4" t="s">
        <v>345</v>
      </c>
      <c r="B147" s="2" t="s">
        <v>346</v>
      </c>
      <c r="C147" s="2" t="s">
        <v>58</v>
      </c>
      <c r="D147" s="3">
        <v>6.7200000000000104</v>
      </c>
      <c r="E147" s="5">
        <v>6.4000000000000199</v>
      </c>
    </row>
    <row r="148" spans="1:5" ht="13.5" customHeight="1" x14ac:dyDescent="0.3">
      <c r="A148" s="4" t="s">
        <v>347</v>
      </c>
      <c r="B148" s="2" t="s">
        <v>348</v>
      </c>
      <c r="C148" s="2" t="s">
        <v>58</v>
      </c>
      <c r="D148" s="3">
        <v>31.35</v>
      </c>
      <c r="E148" s="5">
        <v>31.35</v>
      </c>
    </row>
    <row r="149" spans="1:5" ht="13.5" customHeight="1" x14ac:dyDescent="0.3">
      <c r="A149" s="4" t="s">
        <v>349</v>
      </c>
      <c r="B149" s="2" t="s">
        <v>350</v>
      </c>
      <c r="C149" s="2" t="s">
        <v>58</v>
      </c>
      <c r="D149" s="3">
        <v>1.76000000000003</v>
      </c>
      <c r="E149" s="5">
        <v>-0.39999999999996999</v>
      </c>
    </row>
    <row r="150" spans="1:5" ht="13.5" customHeight="1" x14ac:dyDescent="0.3">
      <c r="A150" s="4" t="s">
        <v>351</v>
      </c>
      <c r="B150" s="2" t="s">
        <v>352</v>
      </c>
      <c r="C150" s="2" t="s">
        <v>58</v>
      </c>
      <c r="D150" s="3">
        <v>13.84</v>
      </c>
      <c r="E150" s="5">
        <v>13.84</v>
      </c>
    </row>
    <row r="151" spans="1:5" ht="13.5" customHeight="1" x14ac:dyDescent="0.3">
      <c r="A151" s="4" t="s">
        <v>353</v>
      </c>
      <c r="B151" s="2" t="s">
        <v>354</v>
      </c>
      <c r="C151" s="2" t="s">
        <v>58</v>
      </c>
      <c r="D151" s="3">
        <v>5.84</v>
      </c>
      <c r="E151" s="5">
        <v>-0.15999999999998901</v>
      </c>
    </row>
    <row r="152" spans="1:5" ht="13.5" customHeight="1" x14ac:dyDescent="0.3">
      <c r="A152" s="4" t="s">
        <v>355</v>
      </c>
      <c r="B152" s="2" t="s">
        <v>356</v>
      </c>
      <c r="C152" s="2" t="s">
        <v>58</v>
      </c>
      <c r="D152" s="3">
        <v>280.27999999999997</v>
      </c>
      <c r="E152" s="5">
        <v>280.27999999999997</v>
      </c>
    </row>
    <row r="153" spans="1:5" ht="13.5" customHeight="1" x14ac:dyDescent="0.3">
      <c r="A153" s="4" t="s">
        <v>357</v>
      </c>
      <c r="B153" s="2" t="s">
        <v>358</v>
      </c>
      <c r="C153" s="2" t="s">
        <v>58</v>
      </c>
      <c r="D153" s="3">
        <v>8.56499999999998</v>
      </c>
      <c r="E153" s="5">
        <v>8.2449999999999903</v>
      </c>
    </row>
    <row r="154" spans="1:5" ht="13.5" customHeight="1" x14ac:dyDescent="0.3">
      <c r="A154" s="4" t="s">
        <v>359</v>
      </c>
      <c r="B154" s="2" t="s">
        <v>360</v>
      </c>
      <c r="C154" s="2" t="s">
        <v>58</v>
      </c>
      <c r="D154" s="3">
        <v>2.6400000000000299</v>
      </c>
      <c r="E154" s="5">
        <v>1.1399999999999899</v>
      </c>
    </row>
    <row r="155" spans="1:5" ht="13.5" customHeight="1" x14ac:dyDescent="0.3">
      <c r="A155" s="4" t="s">
        <v>361</v>
      </c>
      <c r="B155" s="2" t="s">
        <v>362</v>
      </c>
      <c r="C155" s="2" t="s">
        <v>58</v>
      </c>
      <c r="D155" s="3">
        <v>0.71999999999999598</v>
      </c>
      <c r="E155" s="5">
        <v>-5.28</v>
      </c>
    </row>
    <row r="156" spans="1:5" ht="13.5" customHeight="1" x14ac:dyDescent="0.3">
      <c r="A156" s="4" t="s">
        <v>363</v>
      </c>
      <c r="B156" s="2" t="s">
        <v>364</v>
      </c>
      <c r="C156" s="2" t="s">
        <v>58</v>
      </c>
      <c r="D156" s="3">
        <v>1.76</v>
      </c>
      <c r="E156" s="5">
        <v>-1.28000000000001</v>
      </c>
    </row>
    <row r="157" spans="1:5" ht="13.5" customHeight="1" x14ac:dyDescent="0.3">
      <c r="A157" s="4" t="s">
        <v>365</v>
      </c>
      <c r="B157" s="2" t="s">
        <v>366</v>
      </c>
      <c r="C157" s="2" t="s">
        <v>58</v>
      </c>
      <c r="D157" s="3">
        <v>3.0000000000000702</v>
      </c>
      <c r="E157" s="5">
        <v>-8.9999999999999698</v>
      </c>
    </row>
    <row r="158" spans="1:5" ht="13.5" customHeight="1" x14ac:dyDescent="0.3">
      <c r="A158" s="4" t="s">
        <v>367</v>
      </c>
      <c r="B158" s="2" t="s">
        <v>368</v>
      </c>
      <c r="C158" s="2" t="s">
        <v>58</v>
      </c>
      <c r="D158" s="3">
        <v>5.99999999999241E-2</v>
      </c>
      <c r="E158" s="5">
        <v>-18.32</v>
      </c>
    </row>
    <row r="159" spans="1:5" ht="13.5" customHeight="1" x14ac:dyDescent="0.3">
      <c r="A159" s="4" t="s">
        <v>369</v>
      </c>
      <c r="B159" s="2" t="s">
        <v>370</v>
      </c>
      <c r="C159" s="2" t="s">
        <v>58</v>
      </c>
      <c r="D159" s="3">
        <v>93.840999999999994</v>
      </c>
      <c r="E159" s="5">
        <v>90.801000000000002</v>
      </c>
    </row>
    <row r="160" spans="1:5" ht="13.5" customHeight="1" x14ac:dyDescent="0.3">
      <c r="A160" s="4" t="s">
        <v>371</v>
      </c>
      <c r="B160" s="2" t="s">
        <v>372</v>
      </c>
      <c r="C160" s="2" t="s">
        <v>58</v>
      </c>
      <c r="D160" s="3">
        <v>1.5543122344752199E-15</v>
      </c>
      <c r="E160" s="5">
        <v>-4.1999999999999904</v>
      </c>
    </row>
    <row r="161" spans="1:5" ht="13.5" customHeight="1" x14ac:dyDescent="0.3">
      <c r="A161" s="4" t="s">
        <v>373</v>
      </c>
      <c r="B161" s="2" t="s">
        <v>374</v>
      </c>
      <c r="C161" s="2" t="s">
        <v>58</v>
      </c>
      <c r="D161" s="3">
        <v>33.119999999999997</v>
      </c>
      <c r="E161" s="5">
        <v>33.119999999999997</v>
      </c>
    </row>
    <row r="162" spans="1:5" ht="13.5" customHeight="1" x14ac:dyDescent="0.3">
      <c r="A162" s="4" t="s">
        <v>375</v>
      </c>
      <c r="B162" s="2" t="s">
        <v>376</v>
      </c>
      <c r="C162" s="2" t="s">
        <v>58</v>
      </c>
      <c r="D162" s="3">
        <v>37.299999999999997</v>
      </c>
      <c r="E162" s="5">
        <v>37.299999999999997</v>
      </c>
    </row>
    <row r="163" spans="1:5" ht="13.5" customHeight="1" x14ac:dyDescent="0.3">
      <c r="A163" s="4" t="s">
        <v>377</v>
      </c>
      <c r="B163" s="2" t="s">
        <v>378</v>
      </c>
      <c r="C163" s="2" t="s">
        <v>58</v>
      </c>
      <c r="D163" s="3">
        <v>-8.8817841970012507E-15</v>
      </c>
      <c r="E163" s="5">
        <v>-14.24</v>
      </c>
    </row>
    <row r="164" spans="1:5" ht="13.5" customHeight="1" x14ac:dyDescent="0.3">
      <c r="A164" s="4" t="s">
        <v>379</v>
      </c>
      <c r="B164" s="2" t="s">
        <v>380</v>
      </c>
      <c r="C164" s="2" t="s">
        <v>58</v>
      </c>
      <c r="D164" s="3">
        <v>7.1054273576010003E-15</v>
      </c>
      <c r="E164" s="5">
        <v>-13.17</v>
      </c>
    </row>
    <row r="165" spans="1:5" ht="13.5" customHeight="1" x14ac:dyDescent="0.3">
      <c r="A165" s="4" t="s">
        <v>381</v>
      </c>
      <c r="B165" s="2" t="s">
        <v>382</v>
      </c>
      <c r="C165" s="2" t="s">
        <v>58</v>
      </c>
      <c r="D165" s="3">
        <v>44.39</v>
      </c>
      <c r="E165" s="5">
        <v>44.07</v>
      </c>
    </row>
    <row r="166" spans="1:5" ht="13.5" customHeight="1" x14ac:dyDescent="0.3">
      <c r="A166" s="4" t="s">
        <v>383</v>
      </c>
      <c r="B166" s="2" t="s">
        <v>384</v>
      </c>
      <c r="C166" s="2" t="s">
        <v>58</v>
      </c>
      <c r="D166" s="3">
        <v>217.2</v>
      </c>
      <c r="E166" s="5">
        <v>217.2</v>
      </c>
    </row>
    <row r="167" spans="1:5" ht="13.5" customHeight="1" x14ac:dyDescent="0.3">
      <c r="A167" s="4" t="s">
        <v>385</v>
      </c>
      <c r="B167" s="2" t="s">
        <v>386</v>
      </c>
      <c r="C167" s="2" t="s">
        <v>58</v>
      </c>
      <c r="D167" s="3">
        <v>135.76</v>
      </c>
      <c r="E167" s="5">
        <v>135.76</v>
      </c>
    </row>
    <row r="168" spans="1:5" ht="13.5" customHeight="1" x14ac:dyDescent="0.3">
      <c r="A168" s="4" t="s">
        <v>387</v>
      </c>
      <c r="B168" s="2" t="s">
        <v>388</v>
      </c>
      <c r="C168" s="2" t="s">
        <v>58</v>
      </c>
      <c r="D168" s="3">
        <v>81.919999999999902</v>
      </c>
      <c r="E168" s="5">
        <v>81.919999999999902</v>
      </c>
    </row>
    <row r="169" spans="1:5" ht="13.5" customHeight="1" x14ac:dyDescent="0.3">
      <c r="A169" s="4" t="s">
        <v>389</v>
      </c>
      <c r="B169" s="2" t="s">
        <v>390</v>
      </c>
      <c r="C169" s="2" t="s">
        <v>58</v>
      </c>
      <c r="D169" s="3">
        <v>78.599999999999895</v>
      </c>
      <c r="E169" s="5">
        <v>78.599999999999895</v>
      </c>
    </row>
    <row r="170" spans="1:5" ht="13.5" customHeight="1" x14ac:dyDescent="0.3">
      <c r="A170" s="4" t="s">
        <v>391</v>
      </c>
      <c r="B170" s="2" t="s">
        <v>392</v>
      </c>
      <c r="C170" s="2" t="s">
        <v>58</v>
      </c>
      <c r="D170" s="3">
        <v>342.42</v>
      </c>
      <c r="E170" s="5">
        <v>342.42</v>
      </c>
    </row>
    <row r="171" spans="1:5" ht="13.5" customHeight="1" x14ac:dyDescent="0.3">
      <c r="A171" s="4" t="s">
        <v>393</v>
      </c>
      <c r="B171" s="2" t="s">
        <v>394</v>
      </c>
      <c r="C171" s="2" t="s">
        <v>58</v>
      </c>
      <c r="D171" s="3">
        <v>211.12</v>
      </c>
      <c r="E171" s="5">
        <v>210.8</v>
      </c>
    </row>
    <row r="172" spans="1:5" ht="13.5" customHeight="1" x14ac:dyDescent="0.3">
      <c r="A172" s="4" t="s">
        <v>395</v>
      </c>
      <c r="B172" s="2" t="s">
        <v>396</v>
      </c>
      <c r="C172" s="2" t="s">
        <v>58</v>
      </c>
      <c r="D172" s="3">
        <v>298.88</v>
      </c>
      <c r="E172" s="5">
        <v>295.18</v>
      </c>
    </row>
    <row r="173" spans="1:5" ht="13.5" customHeight="1" x14ac:dyDescent="0.3">
      <c r="A173" s="4" t="s">
        <v>397</v>
      </c>
      <c r="B173" s="2" t="s">
        <v>398</v>
      </c>
      <c r="C173" s="2" t="s">
        <v>58</v>
      </c>
      <c r="D173" s="3">
        <v>280.62400000000002</v>
      </c>
      <c r="E173" s="5">
        <v>275.30399999999997</v>
      </c>
    </row>
    <row r="174" spans="1:5" ht="13.5" customHeight="1" x14ac:dyDescent="0.3">
      <c r="A174" s="4" t="s">
        <v>399</v>
      </c>
      <c r="B174" s="2" t="s">
        <v>400</v>
      </c>
      <c r="C174" s="2" t="s">
        <v>58</v>
      </c>
      <c r="D174" s="3">
        <v>482.99</v>
      </c>
      <c r="E174" s="5">
        <v>475.79</v>
      </c>
    </row>
    <row r="175" spans="1:5" ht="13.5" customHeight="1" x14ac:dyDescent="0.3">
      <c r="A175" s="4" t="s">
        <v>401</v>
      </c>
      <c r="B175" s="2" t="s">
        <v>402</v>
      </c>
      <c r="C175" s="2" t="s">
        <v>58</v>
      </c>
      <c r="D175" s="3">
        <v>6.1999999999997701</v>
      </c>
      <c r="E175" s="5">
        <v>-63.880000000000202</v>
      </c>
    </row>
    <row r="176" spans="1:5" ht="13.5" customHeight="1" x14ac:dyDescent="0.3">
      <c r="A176" s="4" t="s">
        <v>403</v>
      </c>
      <c r="B176" s="2" t="s">
        <v>404</v>
      </c>
      <c r="C176" s="2" t="s">
        <v>58</v>
      </c>
      <c r="D176" s="3">
        <v>1.66977542903624E-13</v>
      </c>
      <c r="E176" s="5">
        <v>-38.490000000000101</v>
      </c>
    </row>
    <row r="177" spans="1:5" ht="13.5" customHeight="1" x14ac:dyDescent="0.3">
      <c r="A177" s="4" t="s">
        <v>405</v>
      </c>
      <c r="B177" s="2" t="s">
        <v>406</v>
      </c>
      <c r="C177" s="2" t="s">
        <v>58</v>
      </c>
      <c r="D177" s="3">
        <v>47.410000000000203</v>
      </c>
      <c r="E177" s="5">
        <v>21.9100000000001</v>
      </c>
    </row>
    <row r="178" spans="1:5" ht="13.5" customHeight="1" x14ac:dyDescent="0.3">
      <c r="A178" s="4" t="s">
        <v>407</v>
      </c>
      <c r="B178" s="2" t="s">
        <v>408</v>
      </c>
      <c r="C178" s="2" t="s">
        <v>58</v>
      </c>
      <c r="D178" s="3">
        <v>1.80000000000001</v>
      </c>
      <c r="E178" s="5">
        <v>0.299999999999992</v>
      </c>
    </row>
    <row r="179" spans="1:5" ht="13.5" customHeight="1" x14ac:dyDescent="0.3">
      <c r="A179" s="4" t="s">
        <v>409</v>
      </c>
      <c r="B179" s="2" t="s">
        <v>410</v>
      </c>
      <c r="C179" s="2" t="s">
        <v>58</v>
      </c>
      <c r="D179" s="3">
        <v>0.340000000000035</v>
      </c>
      <c r="E179" s="5">
        <v>0.34000000000002301</v>
      </c>
    </row>
    <row r="180" spans="1:5" ht="13.5" customHeight="1" x14ac:dyDescent="0.3">
      <c r="A180" s="4" t="s">
        <v>411</v>
      </c>
      <c r="B180" s="2" t="s">
        <v>412</v>
      </c>
      <c r="C180" s="2" t="s">
        <v>58</v>
      </c>
      <c r="D180" s="3">
        <v>1.7763568394002501E-15</v>
      </c>
      <c r="E180" s="5">
        <v>8.8817841970012507E-15</v>
      </c>
    </row>
    <row r="181" spans="1:5" ht="13.5" customHeight="1" x14ac:dyDescent="0.3">
      <c r="A181" s="4" t="s">
        <v>413</v>
      </c>
      <c r="B181" s="2" t="s">
        <v>414</v>
      </c>
      <c r="C181" s="2" t="s">
        <v>58</v>
      </c>
      <c r="D181" s="3">
        <v>9.3999999999999897</v>
      </c>
      <c r="E181" s="5">
        <v>9.3999999999999897</v>
      </c>
    </row>
    <row r="182" spans="1:5" ht="13.5" customHeight="1" x14ac:dyDescent="0.3">
      <c r="A182" s="4" t="s">
        <v>415</v>
      </c>
      <c r="B182" s="2" t="s">
        <v>416</v>
      </c>
      <c r="C182" s="2" t="s">
        <v>58</v>
      </c>
      <c r="D182" s="3">
        <v>34.799999999999997</v>
      </c>
      <c r="E182" s="5">
        <v>34.479999999999997</v>
      </c>
    </row>
    <row r="183" spans="1:5" ht="13.5" customHeight="1" x14ac:dyDescent="0.3">
      <c r="A183" s="4" t="s">
        <v>417</v>
      </c>
      <c r="B183" s="2" t="s">
        <v>418</v>
      </c>
      <c r="C183" s="2" t="s">
        <v>58</v>
      </c>
      <c r="D183" s="3">
        <v>47.53</v>
      </c>
      <c r="E183" s="5">
        <v>47.53</v>
      </c>
    </row>
    <row r="184" spans="1:5" ht="13.5" customHeight="1" x14ac:dyDescent="0.3">
      <c r="A184" s="4" t="s">
        <v>419</v>
      </c>
      <c r="B184" s="2" t="s">
        <v>420</v>
      </c>
      <c r="C184" s="2" t="s">
        <v>58</v>
      </c>
      <c r="D184" s="3">
        <v>60.509999999999899</v>
      </c>
      <c r="E184" s="5">
        <v>56.91</v>
      </c>
    </row>
    <row r="185" spans="1:5" ht="13.5" customHeight="1" x14ac:dyDescent="0.3">
      <c r="A185" s="4" t="s">
        <v>421</v>
      </c>
      <c r="B185" s="2" t="s">
        <v>422</v>
      </c>
      <c r="C185" s="2" t="s">
        <v>58</v>
      </c>
      <c r="D185" s="3">
        <v>14.500000000000201</v>
      </c>
      <c r="E185" s="5">
        <v>10.900000000000301</v>
      </c>
    </row>
    <row r="186" spans="1:5" ht="13.5" customHeight="1" x14ac:dyDescent="0.3">
      <c r="A186" s="4" t="s">
        <v>423</v>
      </c>
      <c r="B186" s="2" t="s">
        <v>424</v>
      </c>
      <c r="C186" s="2" t="s">
        <v>58</v>
      </c>
      <c r="D186" s="3">
        <v>494.42</v>
      </c>
      <c r="E186" s="5">
        <v>492.18</v>
      </c>
    </row>
    <row r="187" spans="1:5" ht="13.5" customHeight="1" x14ac:dyDescent="0.3">
      <c r="A187" s="4" t="s">
        <v>425</v>
      </c>
      <c r="B187" s="2" t="s">
        <v>426</v>
      </c>
      <c r="C187" s="2" t="s">
        <v>58</v>
      </c>
      <c r="D187" s="3">
        <v>261.54000000000002</v>
      </c>
      <c r="E187" s="5">
        <v>261.54000000000002</v>
      </c>
    </row>
    <row r="188" spans="1:5" ht="13.5" customHeight="1" x14ac:dyDescent="0.3">
      <c r="A188" s="4" t="s">
        <v>427</v>
      </c>
      <c r="B188" s="2" t="s">
        <v>428</v>
      </c>
      <c r="C188" s="2" t="s">
        <v>58</v>
      </c>
      <c r="D188" s="3">
        <v>36.970000000000098</v>
      </c>
      <c r="E188" s="5">
        <v>32.170000000000101</v>
      </c>
    </row>
    <row r="189" spans="1:5" ht="13.5" customHeight="1" x14ac:dyDescent="0.3">
      <c r="A189" s="9" t="s">
        <v>429</v>
      </c>
      <c r="B189" s="10" t="s">
        <v>430</v>
      </c>
      <c r="C189" s="10" t="s">
        <v>58</v>
      </c>
      <c r="D189" s="11">
        <v>106.191</v>
      </c>
      <c r="E189" s="12">
        <v>105.871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2026.09.14 AMORF</vt:lpstr>
      <vt:lpstr>ZEN LIZ NOR SPH STOK</vt:lpstr>
      <vt:lpstr>'2026.09.14 AMORF'!Yazdırma_Alanı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ekomak1</dc:creator>
  <cp:lastModifiedBy>Eko Hali</cp:lastModifiedBy>
  <cp:lastPrinted>2026-09-14T06:07:17Z</cp:lastPrinted>
  <dcterms:created xsi:type="dcterms:W3CDTF">2026-09-14T05:34:26Z</dcterms:created>
  <dcterms:modified xsi:type="dcterms:W3CDTF">2026-09-14T07:22:39Z</dcterms:modified>
</cp:coreProperties>
</file>